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2026-27\InsureMO\"/>
    </mc:Choice>
  </mc:AlternateContent>
  <xr:revisionPtr revIDLastSave="0" documentId="8_{BEB1DE0C-A994-410A-BC96-3526F1CCEA3E}" xr6:coauthVersionLast="47" xr6:coauthVersionMax="47" xr10:uidLastSave="{00000000-0000-0000-0000-000000000000}"/>
  <bookViews>
    <workbookView xWindow="-110" yWindow="-110" windowWidth="19420" windowHeight="11500" xr2:uid="{435727C6-7014-41EB-B025-47CA49C7B483}"/>
  </bookViews>
  <sheets>
    <sheet name="Digital Assets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4" i="1" l="1"/>
  <c r="C74" i="1"/>
  <c r="B74" i="1"/>
</calcChain>
</file>

<file path=xl/sharedStrings.xml><?xml version="1.0" encoding="utf-8"?>
<sst xmlns="http://schemas.openxmlformats.org/spreadsheetml/2006/main" count="120" uniqueCount="78">
  <si>
    <t>Peak-to-average traffic ratio (assumption)</t>
  </si>
  <si>
    <t>Metric</t>
  </si>
  <si>
    <t>26-27</t>
  </si>
  <si>
    <t>27-28</t>
  </si>
  <si>
    <t>28-29</t>
  </si>
  <si>
    <t>29-30</t>
  </si>
  <si>
    <t>30-31</t>
  </si>
  <si>
    <t>ECS Fargate task count (5 microservices)</t>
  </si>
  <si>
    <t>ECS Fargate task size — vCPU (per task)</t>
  </si>
  <si>
    <t>ECS Fargate task size — Memory GB (per task)</t>
  </si>
  <si>
    <t>Aurora instance class</t>
  </si>
  <si>
    <t>Aurora instance count (Multi-AZ: writer + reader)</t>
  </si>
  <si>
    <t>Aurora storage (GB)</t>
  </si>
  <si>
    <t>Aurora I/O requests (millions/yr)</t>
  </si>
  <si>
    <t>ElastiCache node class</t>
  </si>
  <si>
    <t>ElastiCache node count</t>
  </si>
  <si>
    <t>OpenSearch node count</t>
  </si>
  <si>
    <t>OpenSearch node class</t>
  </si>
  <si>
    <t>OpenSearch storage (GB)</t>
  </si>
  <si>
    <t>S3 storage (GB)</t>
  </si>
  <si>
    <t>S3 PUT/COPY/POST/LIST requests (millions/yr)</t>
  </si>
  <si>
    <t>S3 GET/SELECT requests (millions/yr)</t>
  </si>
  <si>
    <t>API Gateway requests (millions/yr)</t>
  </si>
  <si>
    <t>Lambda (BFF) invocations/yr</t>
  </si>
  <si>
    <t>Lambda (BFF) GB-seconds/yr</t>
  </si>
  <si>
    <t>CloudFront data transfer (GB/month)</t>
  </si>
  <si>
    <t>CloudFront requests (10,000-unit blocks/month)</t>
  </si>
  <si>
    <t>Cognito billable MAU</t>
  </si>
  <si>
    <t>NAT Gateway data processed (GB/yr)</t>
  </si>
  <si>
    <t>Bedrock (GenAI) AI-enabled transactions/yr</t>
  </si>
  <si>
    <t>Bedrock model calls/yr (2 calls per AI transaction)</t>
  </si>
  <si>
    <t>SQS requests (millions/yr)</t>
  </si>
  <si>
    <t>MSK broker class</t>
  </si>
  <si>
    <t>MSK broker count (Optional — excluded from baseline)</t>
  </si>
  <si>
    <t>MSK storage per broker (GB)</t>
  </si>
  <si>
    <t>EventBridge custom events (millions/yr)</t>
  </si>
  <si>
    <t>SageMaker VLM/OCR instance count (Gemma/Qwen vision-language)</t>
  </si>
  <si>
    <t>SageMaker reasoning-model instance count (Gemma/Qwen text reasoning)</t>
  </si>
  <si>
    <t>Pinecone: documents indexed (cumulative)</t>
  </si>
  <si>
    <t>Pinecone: vectors (8 pages/doc, 1 vector/page)</t>
  </si>
  <si>
    <t>Pinecone: storage (GB)</t>
  </si>
  <si>
    <t>Pinecone: write units (millions/yr)</t>
  </si>
  <si>
    <t>Pinecone: read units (millions/yr)</t>
  </si>
  <si>
    <t>Redshift Serverless RPU capacity</t>
  </si>
  <si>
    <t>Redshift active query hours/yr</t>
  </si>
  <si>
    <t>Redshift storage (GB)</t>
  </si>
  <si>
    <t>QuickSight Authors</t>
  </si>
  <si>
    <t>QuickSight Readers (20% of Internal Users)</t>
  </si>
  <si>
    <t>DR: Aurora Global DB secondary instance count</t>
  </si>
  <si>
    <t>DR: Fargate warm-standby task count (30% of primary, min. 5)</t>
  </si>
  <si>
    <t>DR: cross-region replicated data volume (GB/yr)</t>
  </si>
  <si>
    <t>SNS notifications/yr (push/SMS gateway)</t>
  </si>
  <si>
    <t>SES emails/yr</t>
  </si>
  <si>
    <t>RAG ingestion: new documents processed/yr</t>
  </si>
  <si>
    <t>RAG ingestion: Step Functions state transitions/yr</t>
  </si>
  <si>
    <t>RAG ingestion: Lambda invocations/yr (orchestration glue)</t>
  </si>
  <si>
    <t>Bedrock Guardrails: text units/yr</t>
  </si>
  <si>
    <t>Dev</t>
  </si>
  <si>
    <t>Testing (QA)</t>
  </si>
  <si>
    <t>UAT</t>
  </si>
  <si>
    <t>ECS Fargate task count (1 vCPU/2GB each)</t>
  </si>
  <si>
    <t>db.t4g.medium</t>
  </si>
  <si>
    <t>db.r6g.large</t>
  </si>
  <si>
    <t>Aurora instance count</t>
  </si>
  <si>
    <t>cache.t4g.micro</t>
  </si>
  <si>
    <t>cache.r6g.large</t>
  </si>
  <si>
    <t>t3.small.search</t>
  </si>
  <si>
    <t>r6g.large.search</t>
  </si>
  <si>
    <t>Bedrock (GenAI) chat interactions/yr</t>
  </si>
  <si>
    <t>kafka.t3.small</t>
  </si>
  <si>
    <t>kafka.m5.large</t>
  </si>
  <si>
    <t>MSK broker count</t>
  </si>
  <si>
    <t>Custom Model Hosting instance count (self-hosted OSS VLM)</t>
  </si>
  <si>
    <t>Lower Environment</t>
  </si>
  <si>
    <t>db.r6g.xlarge</t>
  </si>
  <si>
    <t>cache.r6g.xlarge</t>
  </si>
  <si>
    <t>r6g.xlarge.search</t>
  </si>
  <si>
    <t>kafka.m5.xlarge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</si>
</sst>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#,##0.00;\(#,##0.00\);\-"/>
  </numFmts>
  <fonts count="6" x14ac:knownFonts="1">
    <font>
      <sz val="11"/>
      <color theme="1"/>
      <name val="Calibri"/>
    </font>
    <font>
      <b/>
      <sz val="14"/>
      <name val="Arial"/>
    </font>
    <font>
      <b/>
      <sz val="11"/>
      <name val="Arial"/>
    </font>
    <font>
      <sz val="11"/>
      <color rgb="FF0000FF"/>
      <name val="Arial"/>
    </font>
    <font>
      <b/>
      <sz val="11"/>
      <color rgb="FFFFFFFF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164" fontId="5" fillId="0" borderId="1" xfId="0" applyNumberFormat="1" applyFont="1" applyBorder="1"/>
    <xf numFmtId="165" fontId="5" fillId="0" borderId="1" xfId="0" applyNumberFormat="1" applyFont="1" applyBorder="1"/>
    <xf numFmtId="164" fontId="3" fillId="0" borderId="1" xfId="0" applyNumberFormat="1" applyFont="1" applyBorder="1"/>
    <xf numFmtId="0" fontId="5" fillId="0" borderId="1" xfId="0" applyFont="1" applyBorder="1"/>
    <xf numFmtId="0" fontId="4" fillId="2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BCEE-413B-438C-82C8-6572ABA16633}">
  <dimension ref="A1:F85"/>
  <sheetViews>
    <sheetView tabSelected="1" zoomScaleNormal="100" zoomScaleSheetLayoutView="100" workbookViewId="0"/>
  </sheetViews>
  <sheetFormatPr defaultColWidth="8.7265625" defaultRowHeight="14.5" x14ac:dyDescent="0.35"/>
  <cols>
    <col min="1" max="1" width="50" customWidth="1"/>
    <col min="2" max="2" width="13" customWidth="1"/>
    <col min="3" max="3" width="12.26953125" bestFit="1" customWidth="1"/>
    <col min="4" max="6" width="14" bestFit="1" customWidth="1"/>
    <col min="7" max="7" width="55" customWidth="1"/>
  </cols>
  <sheetData>
    <row r="1" spans="1:6" ht="18" x14ac:dyDescent="0.4">
      <c r="A1" s="1"/>
    </row>
    <row r="3" spans="1:6" x14ac:dyDescent="0.35">
      <c r="A3" s="2" t="s">
        <v>0</v>
      </c>
    </row>
    <row r="5" spans="1:6" x14ac:dyDescent="0.3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x14ac:dyDescent="0.35">
      <c r="A6" s="4" t="s">
        <v>7</v>
      </c>
      <c r="B6" s="7">
        <v>10</v>
      </c>
      <c r="C6" s="7">
        <v>15</v>
      </c>
      <c r="D6" s="7">
        <v>25</v>
      </c>
      <c r="E6" s="7">
        <v>30</v>
      </c>
      <c r="F6" s="7">
        <v>40</v>
      </c>
    </row>
    <row r="7" spans="1:6" x14ac:dyDescent="0.35">
      <c r="A7" s="4" t="s">
        <v>8</v>
      </c>
      <c r="B7" s="7">
        <v>1</v>
      </c>
      <c r="C7" s="7">
        <v>2</v>
      </c>
      <c r="D7" s="7">
        <v>2</v>
      </c>
      <c r="E7" s="7">
        <v>2</v>
      </c>
      <c r="F7" s="7">
        <v>2</v>
      </c>
    </row>
    <row r="8" spans="1:6" x14ac:dyDescent="0.35">
      <c r="A8" s="4" t="s">
        <v>9</v>
      </c>
      <c r="B8" s="7">
        <v>2</v>
      </c>
      <c r="C8" s="7">
        <v>4</v>
      </c>
      <c r="D8" s="7">
        <v>4</v>
      </c>
      <c r="E8" s="7">
        <v>4</v>
      </c>
      <c r="F8" s="7">
        <v>4</v>
      </c>
    </row>
    <row r="9" spans="1:6" x14ac:dyDescent="0.35">
      <c r="A9" s="4" t="s">
        <v>10</v>
      </c>
      <c r="B9" s="8" t="s">
        <v>62</v>
      </c>
      <c r="C9" s="8" t="s">
        <v>74</v>
      </c>
      <c r="D9" s="8" t="s">
        <v>74</v>
      </c>
      <c r="E9" s="8" t="s">
        <v>74</v>
      </c>
      <c r="F9" s="8" t="s">
        <v>74</v>
      </c>
    </row>
    <row r="10" spans="1:6" x14ac:dyDescent="0.35">
      <c r="A10" s="4" t="s">
        <v>11</v>
      </c>
      <c r="B10" s="7">
        <v>2</v>
      </c>
      <c r="C10" s="7">
        <v>2</v>
      </c>
      <c r="D10" s="7">
        <v>2</v>
      </c>
      <c r="E10" s="7">
        <v>2</v>
      </c>
      <c r="F10" s="7">
        <v>2</v>
      </c>
    </row>
    <row r="11" spans="1:6" x14ac:dyDescent="0.35">
      <c r="A11" s="4" t="s">
        <v>12</v>
      </c>
      <c r="B11" s="5">
        <v>100.60652732849121</v>
      </c>
      <c r="C11" s="5">
        <v>109.09804344177246</v>
      </c>
      <c r="D11" s="5">
        <v>130.32683372497559</v>
      </c>
      <c r="E11" s="5">
        <v>145.49026107788086</v>
      </c>
      <c r="F11" s="5">
        <v>160.65369033813477</v>
      </c>
    </row>
    <row r="12" spans="1:6" x14ac:dyDescent="0.35">
      <c r="A12" s="4" t="s">
        <v>13</v>
      </c>
      <c r="B12" s="6">
        <v>1.2719800000000001</v>
      </c>
      <c r="C12" s="6">
        <v>19.079979999999999</v>
      </c>
      <c r="D12" s="6">
        <v>63.599980000000002</v>
      </c>
      <c r="E12" s="6">
        <v>95.399991999999997</v>
      </c>
      <c r="F12" s="6">
        <v>127.200008</v>
      </c>
    </row>
    <row r="13" spans="1:6" x14ac:dyDescent="0.35">
      <c r="A13" s="4" t="s">
        <v>14</v>
      </c>
      <c r="B13" s="8" t="s">
        <v>65</v>
      </c>
      <c r="C13" s="8" t="s">
        <v>75</v>
      </c>
      <c r="D13" s="8" t="s">
        <v>75</v>
      </c>
      <c r="E13" s="8" t="s">
        <v>75</v>
      </c>
      <c r="F13" s="8" t="s">
        <v>75</v>
      </c>
    </row>
    <row r="14" spans="1:6" x14ac:dyDescent="0.35">
      <c r="A14" s="4" t="s">
        <v>15</v>
      </c>
      <c r="B14" s="7">
        <v>2</v>
      </c>
      <c r="C14" s="7">
        <v>2</v>
      </c>
      <c r="D14" s="7">
        <v>3</v>
      </c>
      <c r="E14" s="7">
        <v>4</v>
      </c>
      <c r="F14" s="7">
        <v>4</v>
      </c>
    </row>
    <row r="15" spans="1:6" x14ac:dyDescent="0.35">
      <c r="A15" s="4" t="s">
        <v>16</v>
      </c>
      <c r="B15" s="5">
        <v>2</v>
      </c>
      <c r="C15" s="5">
        <v>3</v>
      </c>
      <c r="D15" s="5">
        <v>3</v>
      </c>
      <c r="E15" s="5">
        <v>3</v>
      </c>
      <c r="F15" s="5">
        <v>3</v>
      </c>
    </row>
    <row r="16" spans="1:6" x14ac:dyDescent="0.35">
      <c r="A16" s="4" t="s">
        <v>17</v>
      </c>
      <c r="B16" s="8" t="s">
        <v>67</v>
      </c>
      <c r="C16" s="8" t="s">
        <v>67</v>
      </c>
      <c r="D16" s="8" t="s">
        <v>67</v>
      </c>
      <c r="E16" s="8" t="s">
        <v>76</v>
      </c>
      <c r="F16" s="8" t="s">
        <v>76</v>
      </c>
    </row>
    <row r="17" spans="1:6" x14ac:dyDescent="0.35">
      <c r="A17" s="4" t="s">
        <v>18</v>
      </c>
      <c r="B17" s="5">
        <v>100.06065273284912</v>
      </c>
      <c r="C17" s="5">
        <v>100.90980434417725</v>
      </c>
      <c r="D17" s="5">
        <v>103.03268337249756</v>
      </c>
      <c r="E17" s="5">
        <v>104.54902610778808</v>
      </c>
      <c r="F17" s="5">
        <v>106.06536903381348</v>
      </c>
    </row>
    <row r="18" spans="1:6" x14ac:dyDescent="0.35">
      <c r="A18" s="4" t="s">
        <v>19</v>
      </c>
      <c r="B18" s="5">
        <v>200.30326366424561</v>
      </c>
      <c r="C18" s="5">
        <v>204.54902172088623</v>
      </c>
      <c r="D18" s="5">
        <v>215.16341686248779</v>
      </c>
      <c r="E18" s="5">
        <v>222.74513053894043</v>
      </c>
      <c r="F18" s="5">
        <v>230.32684516906738</v>
      </c>
    </row>
    <row r="19" spans="1:6" x14ac:dyDescent="0.35">
      <c r="A19" s="4" t="s">
        <v>20</v>
      </c>
      <c r="B19" s="6">
        <v>0.12719800000000001</v>
      </c>
      <c r="C19" s="6">
        <v>1.9079980000000001</v>
      </c>
      <c r="D19" s="6">
        <v>6.359998</v>
      </c>
      <c r="E19" s="6">
        <v>9.5399992000000005</v>
      </c>
      <c r="F19" s="6">
        <v>12.720000800000001</v>
      </c>
    </row>
    <row r="20" spans="1:6" x14ac:dyDescent="0.35">
      <c r="A20" s="4" t="s">
        <v>21</v>
      </c>
      <c r="B20" s="6">
        <v>0.63599000000000006</v>
      </c>
      <c r="C20" s="6">
        <v>9.5399899999999995</v>
      </c>
      <c r="D20" s="6">
        <v>31.799990000000001</v>
      </c>
      <c r="E20" s="6">
        <v>47.699995999999999</v>
      </c>
      <c r="F20" s="6">
        <v>63.600003999999998</v>
      </c>
    </row>
    <row r="21" spans="1:6" x14ac:dyDescent="0.35">
      <c r="A21" s="4" t="s">
        <v>22</v>
      </c>
      <c r="B21" s="6">
        <v>0.38159399999999999</v>
      </c>
      <c r="C21" s="6">
        <v>5.7239940000000002</v>
      </c>
      <c r="D21" s="6">
        <v>19.079993999999999</v>
      </c>
      <c r="E21" s="6">
        <v>28.619997599999998</v>
      </c>
      <c r="F21" s="6">
        <v>38.160002399999996</v>
      </c>
    </row>
    <row r="22" spans="1:6" x14ac:dyDescent="0.35">
      <c r="A22" s="4" t="s">
        <v>23</v>
      </c>
      <c r="B22" s="5">
        <v>317995</v>
      </c>
      <c r="C22" s="5">
        <v>4769995</v>
      </c>
      <c r="D22" s="5">
        <v>15899995</v>
      </c>
      <c r="E22" s="5">
        <v>23849998</v>
      </c>
      <c r="F22" s="5">
        <v>31800002</v>
      </c>
    </row>
    <row r="23" spans="1:6" x14ac:dyDescent="0.35">
      <c r="A23" s="4" t="s">
        <v>24</v>
      </c>
      <c r="B23" s="5">
        <v>47699.25</v>
      </c>
      <c r="C23" s="5">
        <v>715499.25</v>
      </c>
      <c r="D23" s="5">
        <v>2384999.25</v>
      </c>
      <c r="E23" s="5">
        <v>3577499.6999999997</v>
      </c>
      <c r="F23" s="5">
        <v>4770000.3</v>
      </c>
    </row>
    <row r="24" spans="1:6" x14ac:dyDescent="0.35">
      <c r="A24" s="4" t="s">
        <v>25</v>
      </c>
      <c r="B24" s="5">
        <v>50</v>
      </c>
      <c r="C24" s="5">
        <v>500</v>
      </c>
      <c r="D24" s="5">
        <v>1000</v>
      </c>
      <c r="E24" s="5">
        <v>1500</v>
      </c>
      <c r="F24" s="5">
        <v>2500</v>
      </c>
    </row>
    <row r="25" spans="1:6" x14ac:dyDescent="0.35">
      <c r="A25" s="4" t="s">
        <v>26</v>
      </c>
      <c r="B25" s="6">
        <v>4</v>
      </c>
      <c r="C25" s="6">
        <v>40</v>
      </c>
      <c r="D25" s="6">
        <v>80</v>
      </c>
      <c r="E25" s="6">
        <v>120</v>
      </c>
      <c r="F25" s="6">
        <v>200</v>
      </c>
    </row>
    <row r="26" spans="1:6" x14ac:dyDescent="0.35">
      <c r="A26" s="4" t="s">
        <v>27</v>
      </c>
      <c r="B26" s="5">
        <v>0</v>
      </c>
      <c r="C26" s="5">
        <v>0</v>
      </c>
      <c r="D26" s="5">
        <v>10000</v>
      </c>
      <c r="E26" s="5">
        <v>20000</v>
      </c>
      <c r="F26" s="5">
        <v>40000</v>
      </c>
    </row>
    <row r="27" spans="1:6" x14ac:dyDescent="0.35">
      <c r="A27" s="4" t="s">
        <v>28</v>
      </c>
      <c r="B27" s="5">
        <v>1.5163183212280273</v>
      </c>
      <c r="C27" s="5">
        <v>22.745108604431152</v>
      </c>
      <c r="D27" s="5">
        <v>75.817084312438965</v>
      </c>
      <c r="E27" s="5">
        <v>113.72565269470215</v>
      </c>
      <c r="F27" s="5">
        <v>151.63422584533691</v>
      </c>
    </row>
    <row r="28" spans="1:6" x14ac:dyDescent="0.35">
      <c r="A28" s="4" t="s">
        <v>29</v>
      </c>
      <c r="B28" s="5">
        <v>222596.5</v>
      </c>
      <c r="C28" s="5">
        <v>3338996.5</v>
      </c>
      <c r="D28" s="5">
        <v>11129996.5</v>
      </c>
      <c r="E28" s="5">
        <v>16694998.6</v>
      </c>
      <c r="F28" s="5">
        <v>22260001.399999999</v>
      </c>
    </row>
    <row r="29" spans="1:6" x14ac:dyDescent="0.35">
      <c r="A29" s="4" t="s">
        <v>30</v>
      </c>
      <c r="B29" s="5">
        <v>445193</v>
      </c>
      <c r="C29" s="5">
        <v>6677993</v>
      </c>
      <c r="D29" s="5">
        <v>22259993</v>
      </c>
      <c r="E29" s="5">
        <v>33389997.199999999</v>
      </c>
      <c r="F29" s="5">
        <v>44520002.799999997</v>
      </c>
    </row>
    <row r="30" spans="1:6" x14ac:dyDescent="0.35">
      <c r="A30" s="4" t="s">
        <v>31</v>
      </c>
      <c r="B30" s="6">
        <v>0.95398499999999997</v>
      </c>
      <c r="C30" s="6">
        <v>14.309984999999999</v>
      </c>
      <c r="D30" s="6">
        <v>47.699984999999998</v>
      </c>
      <c r="E30" s="6">
        <v>71.549993999999998</v>
      </c>
      <c r="F30" s="6">
        <v>95.400006000000005</v>
      </c>
    </row>
    <row r="31" spans="1:6" x14ac:dyDescent="0.35">
      <c r="A31" s="4" t="s">
        <v>32</v>
      </c>
      <c r="B31" s="8" t="s">
        <v>70</v>
      </c>
      <c r="C31" s="8" t="s">
        <v>77</v>
      </c>
      <c r="D31" s="8" t="s">
        <v>77</v>
      </c>
      <c r="E31" s="8" t="s">
        <v>77</v>
      </c>
      <c r="F31" s="8" t="s">
        <v>77</v>
      </c>
    </row>
    <row r="32" spans="1:6" x14ac:dyDescent="0.35">
      <c r="A32" s="4" t="s">
        <v>33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</row>
    <row r="33" spans="1:6" x14ac:dyDescent="0.35">
      <c r="A33" s="4" t="s">
        <v>34</v>
      </c>
      <c r="B33" s="5">
        <v>100.317995</v>
      </c>
      <c r="C33" s="5">
        <v>104.76999499999999</v>
      </c>
      <c r="D33" s="5">
        <v>115.899995</v>
      </c>
      <c r="E33" s="5">
        <v>123.849998</v>
      </c>
      <c r="F33" s="5">
        <v>131.80000200000001</v>
      </c>
    </row>
    <row r="34" spans="1:6" x14ac:dyDescent="0.35">
      <c r="A34" s="4" t="s">
        <v>35</v>
      </c>
      <c r="B34" s="6">
        <v>0.31799500000000003</v>
      </c>
      <c r="C34" s="6">
        <v>4.7699949999999998</v>
      </c>
      <c r="D34" s="6">
        <v>15.899995000000001</v>
      </c>
      <c r="E34" s="6">
        <v>23.849997999999999</v>
      </c>
      <c r="F34" s="6">
        <v>31.800001999999999</v>
      </c>
    </row>
    <row r="35" spans="1:6" x14ac:dyDescent="0.35">
      <c r="A35" s="4" t="s">
        <v>36</v>
      </c>
      <c r="B35" s="7">
        <v>2</v>
      </c>
      <c r="C35" s="7">
        <v>3</v>
      </c>
      <c r="D35" s="7">
        <v>3</v>
      </c>
      <c r="E35" s="7">
        <v>4</v>
      </c>
      <c r="F35" s="7">
        <v>4</v>
      </c>
    </row>
    <row r="36" spans="1:6" x14ac:dyDescent="0.35">
      <c r="A36" s="4" t="s">
        <v>37</v>
      </c>
      <c r="B36" s="7">
        <v>2</v>
      </c>
      <c r="C36" s="7">
        <v>2</v>
      </c>
      <c r="D36" s="7">
        <v>3</v>
      </c>
      <c r="E36" s="7">
        <v>4</v>
      </c>
      <c r="F36" s="7">
        <v>4</v>
      </c>
    </row>
    <row r="37" spans="1:6" x14ac:dyDescent="0.35">
      <c r="A37" s="4" t="s">
        <v>38</v>
      </c>
      <c r="B37" s="5">
        <v>2957100</v>
      </c>
      <c r="C37" s="5">
        <v>46814200</v>
      </c>
      <c r="D37" s="5">
        <v>191671300</v>
      </c>
      <c r="E37" s="5">
        <v>408957000</v>
      </c>
      <c r="F37" s="5">
        <v>699671300</v>
      </c>
    </row>
    <row r="38" spans="1:6" x14ac:dyDescent="0.35">
      <c r="A38" s="4" t="s">
        <v>39</v>
      </c>
      <c r="B38" s="5">
        <v>23656800</v>
      </c>
      <c r="C38" s="5">
        <v>374513600</v>
      </c>
      <c r="D38" s="5">
        <v>1533370400</v>
      </c>
      <c r="E38" s="5">
        <v>3271656000</v>
      </c>
      <c r="F38" s="5">
        <v>5597370400</v>
      </c>
    </row>
    <row r="39" spans="1:6" x14ac:dyDescent="0.35">
      <c r="A39" s="4" t="s">
        <v>40</v>
      </c>
      <c r="B39" s="5">
        <v>180.487060546875</v>
      </c>
      <c r="C39" s="5">
        <v>2857.31201171875</v>
      </c>
      <c r="D39" s="5">
        <v>11698.687744140625</v>
      </c>
      <c r="E39" s="5">
        <v>24960.75439453125</v>
      </c>
      <c r="F39" s="5">
        <v>42704.547119140625</v>
      </c>
    </row>
    <row r="40" spans="1:6" x14ac:dyDescent="0.35">
      <c r="A40" s="4" t="s">
        <v>41</v>
      </c>
      <c r="B40" s="6">
        <v>4.7313599999999996</v>
      </c>
      <c r="C40" s="6">
        <v>74.902720000000002</v>
      </c>
      <c r="D40" s="6">
        <v>306.67408</v>
      </c>
      <c r="E40" s="6">
        <v>654.33119999999997</v>
      </c>
      <c r="F40" s="6">
        <v>1119.47408</v>
      </c>
    </row>
    <row r="41" spans="1:6" x14ac:dyDescent="0.35">
      <c r="A41" s="4" t="s">
        <v>42</v>
      </c>
      <c r="B41" s="6">
        <v>11.129825</v>
      </c>
      <c r="C41" s="6">
        <v>166.949825</v>
      </c>
      <c r="D41" s="6">
        <v>556.49982499999999</v>
      </c>
      <c r="E41" s="6">
        <v>834.74992999999995</v>
      </c>
      <c r="F41" s="6">
        <v>1113.0000700000001</v>
      </c>
    </row>
    <row r="42" spans="1:6" x14ac:dyDescent="0.35">
      <c r="A42" s="4" t="s">
        <v>43</v>
      </c>
      <c r="B42" s="5">
        <v>8</v>
      </c>
      <c r="C42" s="5">
        <v>16</v>
      </c>
      <c r="D42" s="5">
        <v>16</v>
      </c>
      <c r="E42" s="5">
        <v>16</v>
      </c>
      <c r="F42" s="5">
        <v>16</v>
      </c>
    </row>
    <row r="43" spans="1:6" x14ac:dyDescent="0.35">
      <c r="A43" s="4" t="s">
        <v>44</v>
      </c>
      <c r="B43" s="7">
        <v>2920</v>
      </c>
      <c r="C43" s="7">
        <v>2920</v>
      </c>
      <c r="D43" s="7">
        <v>2920</v>
      </c>
      <c r="E43" s="7">
        <v>2920</v>
      </c>
      <c r="F43" s="7">
        <v>2920</v>
      </c>
    </row>
    <row r="44" spans="1:6" x14ac:dyDescent="0.35">
      <c r="A44" s="4" t="s">
        <v>45</v>
      </c>
      <c r="B44" s="5">
        <v>501.51631832122803</v>
      </c>
      <c r="C44" s="5">
        <v>524.26142692565918</v>
      </c>
      <c r="D44" s="5">
        <v>600.07851123809814</v>
      </c>
      <c r="E44" s="5">
        <v>713.80416393280029</v>
      </c>
      <c r="F44" s="5">
        <v>865.43838977813721</v>
      </c>
    </row>
    <row r="45" spans="1:6" x14ac:dyDescent="0.35">
      <c r="A45" s="4" t="s">
        <v>46</v>
      </c>
      <c r="B45" s="7">
        <v>5</v>
      </c>
      <c r="C45" s="7">
        <v>5</v>
      </c>
      <c r="D45" s="7">
        <v>10</v>
      </c>
      <c r="E45" s="7">
        <v>10</v>
      </c>
      <c r="F45" s="7">
        <v>20</v>
      </c>
    </row>
    <row r="46" spans="1:6" x14ac:dyDescent="0.35">
      <c r="A46" s="4" t="s">
        <v>47</v>
      </c>
      <c r="B46" s="5">
        <v>20</v>
      </c>
      <c r="C46" s="5">
        <v>50</v>
      </c>
      <c r="D46" s="5">
        <v>100</v>
      </c>
      <c r="E46" s="5">
        <v>200</v>
      </c>
      <c r="F46" s="5">
        <v>300</v>
      </c>
    </row>
    <row r="47" spans="1:6" x14ac:dyDescent="0.35">
      <c r="A47" s="4" t="s">
        <v>48</v>
      </c>
      <c r="B47" s="7">
        <v>1</v>
      </c>
      <c r="C47" s="7">
        <v>1</v>
      </c>
      <c r="D47" s="7">
        <v>1</v>
      </c>
      <c r="E47" s="7">
        <v>1</v>
      </c>
      <c r="F47" s="7">
        <v>1</v>
      </c>
    </row>
    <row r="48" spans="1:6" x14ac:dyDescent="0.35">
      <c r="A48" s="4" t="s">
        <v>49</v>
      </c>
      <c r="B48" s="5">
        <v>5</v>
      </c>
      <c r="C48" s="5">
        <v>5</v>
      </c>
      <c r="D48" s="5">
        <v>8</v>
      </c>
      <c r="E48" s="5">
        <v>9</v>
      </c>
      <c r="F48" s="5">
        <v>12</v>
      </c>
    </row>
    <row r="49" spans="1:6" x14ac:dyDescent="0.35">
      <c r="A49" s="4" t="s">
        <v>50</v>
      </c>
      <c r="B49" s="5">
        <v>4811.6453247070313</v>
      </c>
      <c r="C49" s="5">
        <v>4974.6824340820313</v>
      </c>
      <c r="D49" s="5">
        <v>5382.2752075195313</v>
      </c>
      <c r="E49" s="5">
        <v>5673.4130126953132</v>
      </c>
      <c r="F49" s="5">
        <v>5964.5508544921868</v>
      </c>
    </row>
    <row r="50" spans="1:6" x14ac:dyDescent="0.35">
      <c r="A50" s="4" t="s">
        <v>51</v>
      </c>
      <c r="B50" s="5">
        <v>317995</v>
      </c>
      <c r="C50" s="5">
        <v>4769995</v>
      </c>
      <c r="D50" s="5">
        <v>15899995</v>
      </c>
      <c r="E50" s="5">
        <v>23849998</v>
      </c>
      <c r="F50" s="5">
        <v>31800002</v>
      </c>
    </row>
    <row r="51" spans="1:6" x14ac:dyDescent="0.35">
      <c r="A51" s="4" t="s">
        <v>52</v>
      </c>
      <c r="B51" s="5">
        <v>158997.5</v>
      </c>
      <c r="C51" s="5">
        <v>2384997.5</v>
      </c>
      <c r="D51" s="5">
        <v>7949997.5</v>
      </c>
      <c r="E51" s="5">
        <v>11924999</v>
      </c>
      <c r="F51" s="5">
        <v>15900001</v>
      </c>
    </row>
    <row r="52" spans="1:6" x14ac:dyDescent="0.35">
      <c r="A52" s="4" t="s">
        <v>53</v>
      </c>
      <c r="B52" s="5">
        <v>2957100</v>
      </c>
      <c r="C52" s="5">
        <v>43857100</v>
      </c>
      <c r="D52" s="5">
        <v>144857100</v>
      </c>
      <c r="E52" s="5">
        <v>217285700</v>
      </c>
      <c r="F52" s="5">
        <v>290714300</v>
      </c>
    </row>
    <row r="53" spans="1:6" x14ac:dyDescent="0.35">
      <c r="A53" s="4" t="s">
        <v>54</v>
      </c>
      <c r="B53" s="5">
        <v>23656800</v>
      </c>
      <c r="C53" s="5">
        <v>350856800</v>
      </c>
      <c r="D53" s="5">
        <v>1158856800</v>
      </c>
      <c r="E53" s="5">
        <v>1738285600</v>
      </c>
      <c r="F53" s="5">
        <v>2325714400</v>
      </c>
    </row>
    <row r="54" spans="1:6" x14ac:dyDescent="0.35">
      <c r="A54" s="4" t="s">
        <v>55</v>
      </c>
      <c r="B54" s="5">
        <v>14785500</v>
      </c>
      <c r="C54" s="5">
        <v>219285500</v>
      </c>
      <c r="D54" s="5">
        <v>724285500</v>
      </c>
      <c r="E54" s="5">
        <v>1086428500</v>
      </c>
      <c r="F54" s="5">
        <v>1453571500</v>
      </c>
    </row>
    <row r="55" spans="1:6" x14ac:dyDescent="0.35">
      <c r="A55" s="4" t="s">
        <v>56</v>
      </c>
      <c r="B55" s="5">
        <v>890386</v>
      </c>
      <c r="C55" s="5">
        <v>13355986</v>
      </c>
      <c r="D55" s="5">
        <v>44519986</v>
      </c>
      <c r="E55" s="5">
        <v>66779994.399999999</v>
      </c>
      <c r="F55" s="5">
        <v>89040005.599999994</v>
      </c>
    </row>
    <row r="57" spans="1:6" ht="18" x14ac:dyDescent="0.4">
      <c r="A57" s="1" t="s">
        <v>73</v>
      </c>
    </row>
    <row r="59" spans="1:6" x14ac:dyDescent="0.35">
      <c r="A59" s="9" t="s">
        <v>1</v>
      </c>
      <c r="B59" s="9" t="s">
        <v>57</v>
      </c>
      <c r="C59" s="9" t="s">
        <v>58</v>
      </c>
      <c r="D59" s="9" t="s">
        <v>59</v>
      </c>
    </row>
    <row r="60" spans="1:6" x14ac:dyDescent="0.35">
      <c r="A60" s="4" t="s">
        <v>60</v>
      </c>
      <c r="B60" s="7">
        <v>5</v>
      </c>
      <c r="C60" s="7">
        <v>7</v>
      </c>
      <c r="D60" s="7">
        <v>10</v>
      </c>
    </row>
    <row r="61" spans="1:6" x14ac:dyDescent="0.35">
      <c r="A61" s="4" t="s">
        <v>10</v>
      </c>
      <c r="B61" s="10" t="s">
        <v>61</v>
      </c>
      <c r="C61" s="10" t="s">
        <v>61</v>
      </c>
      <c r="D61" s="10" t="s">
        <v>62</v>
      </c>
    </row>
    <row r="62" spans="1:6" x14ac:dyDescent="0.35">
      <c r="A62" s="4" t="s">
        <v>63</v>
      </c>
      <c r="B62" s="7">
        <v>1</v>
      </c>
      <c r="C62" s="7">
        <v>1</v>
      </c>
      <c r="D62" s="7">
        <v>1</v>
      </c>
    </row>
    <row r="63" spans="1:6" x14ac:dyDescent="0.35">
      <c r="A63" s="4" t="s">
        <v>12</v>
      </c>
      <c r="B63" s="7">
        <v>20</v>
      </c>
      <c r="C63" s="7">
        <v>35</v>
      </c>
      <c r="D63" s="7">
        <v>50</v>
      </c>
    </row>
    <row r="64" spans="1:6" x14ac:dyDescent="0.35">
      <c r="A64" s="4" t="s">
        <v>14</v>
      </c>
      <c r="B64" s="10" t="s">
        <v>64</v>
      </c>
      <c r="C64" s="10" t="s">
        <v>64</v>
      </c>
      <c r="D64" s="10" t="s">
        <v>65</v>
      </c>
    </row>
    <row r="65" spans="1:4" x14ac:dyDescent="0.35">
      <c r="A65" s="4" t="s">
        <v>15</v>
      </c>
      <c r="B65" s="7">
        <v>1</v>
      </c>
      <c r="C65" s="7">
        <v>1</v>
      </c>
      <c r="D65" s="7">
        <v>1</v>
      </c>
    </row>
    <row r="66" spans="1:4" x14ac:dyDescent="0.35">
      <c r="A66" s="4" t="s">
        <v>16</v>
      </c>
      <c r="B66" s="7">
        <v>1</v>
      </c>
      <c r="C66" s="7">
        <v>1</v>
      </c>
      <c r="D66" s="7">
        <v>2</v>
      </c>
    </row>
    <row r="67" spans="1:4" x14ac:dyDescent="0.35">
      <c r="A67" s="4" t="s">
        <v>17</v>
      </c>
      <c r="B67" s="10" t="s">
        <v>66</v>
      </c>
      <c r="C67" s="10" t="s">
        <v>66</v>
      </c>
      <c r="D67" s="10" t="s">
        <v>67</v>
      </c>
    </row>
    <row r="68" spans="1:4" x14ac:dyDescent="0.35">
      <c r="A68" s="4" t="s">
        <v>18</v>
      </c>
      <c r="B68" s="7">
        <v>20</v>
      </c>
      <c r="C68" s="7">
        <v>35</v>
      </c>
      <c r="D68" s="7">
        <v>50</v>
      </c>
    </row>
    <row r="69" spans="1:4" x14ac:dyDescent="0.35">
      <c r="A69" s="4" t="s">
        <v>19</v>
      </c>
      <c r="B69" s="7">
        <v>50</v>
      </c>
      <c r="C69" s="7">
        <v>75</v>
      </c>
      <c r="D69" s="7">
        <v>100</v>
      </c>
    </row>
    <row r="70" spans="1:4" x14ac:dyDescent="0.35">
      <c r="A70" s="4" t="s">
        <v>20</v>
      </c>
      <c r="B70" s="7">
        <v>0.05</v>
      </c>
      <c r="C70" s="7">
        <v>0.15</v>
      </c>
      <c r="D70" s="7">
        <v>0.3</v>
      </c>
    </row>
    <row r="71" spans="1:4" x14ac:dyDescent="0.35">
      <c r="A71" s="4" t="s">
        <v>21</v>
      </c>
      <c r="B71" s="7">
        <v>0.2</v>
      </c>
      <c r="C71" s="7">
        <v>0.6</v>
      </c>
      <c r="D71" s="7">
        <v>1.2</v>
      </c>
    </row>
    <row r="72" spans="1:4" x14ac:dyDescent="0.35">
      <c r="A72" s="4" t="s">
        <v>22</v>
      </c>
      <c r="B72" s="7">
        <v>0.36</v>
      </c>
      <c r="C72" s="7">
        <v>1.8</v>
      </c>
      <c r="D72" s="7">
        <v>3.6</v>
      </c>
    </row>
    <row r="73" spans="1:4" x14ac:dyDescent="0.35">
      <c r="A73" s="4" t="s">
        <v>23</v>
      </c>
      <c r="B73" s="7">
        <v>360000</v>
      </c>
      <c r="C73" s="7">
        <v>1800000</v>
      </c>
      <c r="D73" s="7">
        <v>3600000</v>
      </c>
    </row>
    <row r="74" spans="1:4" x14ac:dyDescent="0.35">
      <c r="A74" s="4" t="s">
        <v>24</v>
      </c>
      <c r="B74" s="5">
        <f>B73*0.3*0.5</f>
        <v>54000</v>
      </c>
      <c r="C74" s="5">
        <f>C73*0.3*0.5</f>
        <v>270000</v>
      </c>
      <c r="D74" s="5">
        <f>D73*0.3*0.5</f>
        <v>540000</v>
      </c>
    </row>
    <row r="75" spans="1:4" x14ac:dyDescent="0.35">
      <c r="A75" s="4" t="s">
        <v>25</v>
      </c>
      <c r="B75" s="7">
        <v>5</v>
      </c>
      <c r="C75" s="7">
        <v>12</v>
      </c>
      <c r="D75" s="7">
        <v>20</v>
      </c>
    </row>
    <row r="76" spans="1:4" x14ac:dyDescent="0.35">
      <c r="A76" s="4" t="s">
        <v>26</v>
      </c>
      <c r="B76" s="7">
        <v>2</v>
      </c>
      <c r="C76" s="7">
        <v>6</v>
      </c>
      <c r="D76" s="7">
        <v>10</v>
      </c>
    </row>
    <row r="77" spans="1:4" x14ac:dyDescent="0.35">
      <c r="A77" s="4" t="s">
        <v>27</v>
      </c>
      <c r="B77" s="7">
        <v>0</v>
      </c>
      <c r="C77" s="7">
        <v>0</v>
      </c>
      <c r="D77" s="7">
        <v>0</v>
      </c>
    </row>
    <row r="78" spans="1:4" x14ac:dyDescent="0.35">
      <c r="A78" s="4" t="s">
        <v>28</v>
      </c>
      <c r="B78" s="7">
        <v>60</v>
      </c>
      <c r="C78" s="7">
        <v>150</v>
      </c>
      <c r="D78" s="7">
        <v>240</v>
      </c>
    </row>
    <row r="79" spans="1:4" x14ac:dyDescent="0.35">
      <c r="A79" s="4" t="s">
        <v>68</v>
      </c>
      <c r="B79" s="7">
        <v>30000</v>
      </c>
      <c r="C79" s="7">
        <v>60000</v>
      </c>
      <c r="D79" s="7">
        <v>90000</v>
      </c>
    </row>
    <row r="80" spans="1:4" x14ac:dyDescent="0.35">
      <c r="A80" s="4" t="s">
        <v>31</v>
      </c>
      <c r="B80" s="7">
        <v>0.01</v>
      </c>
      <c r="C80" s="7">
        <v>0.02</v>
      </c>
      <c r="D80" s="7">
        <v>0.05</v>
      </c>
    </row>
    <row r="81" spans="1:4" x14ac:dyDescent="0.35">
      <c r="A81" s="4" t="s">
        <v>32</v>
      </c>
      <c r="B81" s="10" t="s">
        <v>69</v>
      </c>
      <c r="C81" s="10" t="s">
        <v>69</v>
      </c>
      <c r="D81" s="10" t="s">
        <v>70</v>
      </c>
    </row>
    <row r="82" spans="1:4" x14ac:dyDescent="0.35">
      <c r="A82" s="4" t="s">
        <v>71</v>
      </c>
      <c r="B82" s="7">
        <v>0</v>
      </c>
      <c r="C82" s="7">
        <v>0</v>
      </c>
      <c r="D82" s="7">
        <v>0</v>
      </c>
    </row>
    <row r="83" spans="1:4" x14ac:dyDescent="0.35">
      <c r="A83" s="4" t="s">
        <v>34</v>
      </c>
      <c r="B83" s="7">
        <v>20</v>
      </c>
      <c r="C83" s="7">
        <v>35</v>
      </c>
      <c r="D83" s="7">
        <v>50</v>
      </c>
    </row>
    <row r="84" spans="1:4" x14ac:dyDescent="0.35">
      <c r="A84" s="4" t="s">
        <v>35</v>
      </c>
      <c r="B84" s="7">
        <v>5.0000000000000001E-3</v>
      </c>
      <c r="C84" s="7">
        <v>0.01</v>
      </c>
      <c r="D84" s="7">
        <v>0.02</v>
      </c>
    </row>
    <row r="85" spans="1:4" x14ac:dyDescent="0.35">
      <c r="A85" s="4" t="s">
        <v>72</v>
      </c>
      <c r="B85" s="7">
        <v>0</v>
      </c>
      <c r="C85" s="7">
        <v>1</v>
      </c>
      <c r="D85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Renuka Kumar</dc:creator>
  <cp:lastModifiedBy>V Renuka Kumar</cp:lastModifiedBy>
  <dcterms:created xsi:type="dcterms:W3CDTF">2026-08-14T11:12:31Z</dcterms:created>
  <dcterms:modified xsi:type="dcterms:W3CDTF">2026-08-14T11:17:22Z</dcterms:modified>
</cp:coreProperties>
</file>