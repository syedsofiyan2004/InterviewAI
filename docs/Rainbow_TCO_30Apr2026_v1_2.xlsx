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https://minfytech.sharepoint.com/sites/AWSMAP/Shared Documents/India/RainbowHospital/TCO/"/>
    </mc:Choice>
  </mc:AlternateContent>
  <xr:revisionPtr revIDLastSave="184" documentId="8_{9239C8E2-697D-2946-8C9A-E0B29DFFEA50}" xr6:coauthVersionLast="47" xr6:coauthVersionMax="47" xr10:uidLastSave="{E66AB0EA-DFB0-B843-A53B-8FB1255AE4A1}"/>
  <bookViews>
    <workbookView xWindow="4680" yWindow="600" windowWidth="24100" windowHeight="17400" tabRatio="500" firstSheet="10" activeTab="12" xr2:uid="{00000000-000D-0000-FFFF-FFFF00000000}"/>
  </bookViews>
  <sheets>
    <sheet name="Meeting Outcomes &amp; Summary" sheetId="1" state="hidden" r:id="rId1"/>
    <sheet name="Master - KareXpert Option" sheetId="2" r:id="rId2"/>
    <sheet name="Master - MyHealthcare Option" sheetId="3" r:id="rId3"/>
    <sheet name="MyHealthCommercial Breakdown " sheetId="4" r:id="rId4"/>
    <sheet name="KareXpeCommercial Breakdown " sheetId="5" r:id="rId5"/>
    <sheet name="Commercial Breakdown" sheetId="6" r:id="rId6"/>
    <sheet name="Consolidated Master View" sheetId="7" r:id="rId7"/>
    <sheet name="Consolidated Summary" sheetId="8" r:id="rId8"/>
    <sheet name="Primary TCO - Hyderabad" sheetId="9" r:id="rId9"/>
    <sheet name="DR TCO - Mumbai" sheetId="10" r:id="rId10"/>
    <sheet name="SuppServices4ExistingHIS" sheetId="11" r:id="rId11"/>
    <sheet name="Supporting Services" sheetId="12" r:id="rId12"/>
    <sheet name="Marketplace Offerings" sheetId="13" r:id="rId13"/>
    <sheet name="HIS BOM - KareXpert" sheetId="14" r:id="rId14"/>
    <sheet name="HIS BOM - MyHealthcare" sheetId="15" r:id="rId15"/>
    <sheet name="Active-Active vs Passive" sheetId="16" r:id="rId16"/>
    <sheet name="Existing AWS HMS (Phase 2)" sheetId="17" r:id="rId17"/>
    <sheet name="AD &amp; PACS Infrastructure" sheetId="18" state="hidden" r:id="rId18"/>
    <sheet name="Draft" sheetId="19" state="hidden" r:id="rId19"/>
  </sheets>
  <definedNames>
    <definedName name="_xlnm._FilterDatabase" localSheetId="17" hidden="1">'AD &amp; PACS Infrastructure'!$A$91:$H$102</definedName>
    <definedName name="_xlnm._FilterDatabase" localSheetId="6" hidden="1">'Consolidated Master View'!$A$4:$J$134</definedName>
    <definedName name="_xlnm._FilterDatabase" localSheetId="9" hidden="1">'DR TCO - Mumbai'!$A$2:$P$14</definedName>
    <definedName name="_xlnm._FilterDatabase" localSheetId="16" hidden="1">'Existing AWS HMS (Phase 2)'!$A$2:$H$30</definedName>
    <definedName name="_xlnm._FilterDatabase" localSheetId="12" hidden="1">'Marketplace Offerings'!$A$2:$G$16</definedName>
    <definedName name="_xlnm._FilterDatabase" localSheetId="8" hidden="1">'Primary TCO - Hyderabad'!$A$2:$R$32</definedName>
    <definedName name="_xlnm._FilterDatabase" localSheetId="11" hidden="1">'Supporting Services'!$A$2:$G$27</definedName>
    <definedName name="_xlnm._FilterDatabase" localSheetId="10" hidden="1">SuppServices4ExistingHIS!$A$2:$G$27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5" i="18" l="1"/>
  <c r="G105" i="18" s="1"/>
  <c r="F104" i="18"/>
  <c r="G104" i="18" s="1"/>
  <c r="G102" i="18"/>
  <c r="G101" i="18"/>
  <c r="G100" i="18"/>
  <c r="G99" i="18"/>
  <c r="G98" i="18"/>
  <c r="G97" i="18"/>
  <c r="G96" i="18"/>
  <c r="G95" i="18"/>
  <c r="G94" i="18"/>
  <c r="G93" i="18"/>
  <c r="G92" i="18"/>
  <c r="G33" i="17"/>
  <c r="F31" i="17"/>
  <c r="I9" i="15"/>
  <c r="I8" i="15"/>
  <c r="I7" i="15"/>
  <c r="I6" i="15"/>
  <c r="I5" i="15"/>
  <c r="I9" i="14"/>
  <c r="I8" i="14"/>
  <c r="I7" i="14"/>
  <c r="I6" i="14"/>
  <c r="I5" i="14"/>
  <c r="F17" i="13"/>
  <c r="C10" i="8" s="1"/>
  <c r="D10" i="8" s="1"/>
  <c r="F28" i="12"/>
  <c r="F29" i="11"/>
  <c r="O12" i="10"/>
  <c r="O11" i="10"/>
  <c r="O10" i="10"/>
  <c r="O9" i="10"/>
  <c r="O8" i="10"/>
  <c r="O7" i="10"/>
  <c r="O6" i="10"/>
  <c r="O5" i="10"/>
  <c r="O4" i="10"/>
  <c r="O3" i="10"/>
  <c r="O14" i="10" s="1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Q5" i="9"/>
  <c r="Q4" i="9"/>
  <c r="Q3" i="9"/>
  <c r="H14" i="8"/>
  <c r="C11" i="8"/>
  <c r="D11" i="8" s="1"/>
  <c r="C9" i="8"/>
  <c r="D9" i="8" s="1"/>
  <c r="G131" i="7"/>
  <c r="H131" i="7" s="1"/>
  <c r="G130" i="7"/>
  <c r="H130" i="7" s="1"/>
  <c r="C9" i="6" s="1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1" i="7"/>
  <c r="H40" i="7"/>
  <c r="H39" i="7"/>
  <c r="H38" i="7"/>
  <c r="H37" i="7"/>
  <c r="H36" i="7"/>
  <c r="H35" i="7"/>
  <c r="H34" i="7"/>
  <c r="H33" i="7"/>
  <c r="H32" i="7"/>
  <c r="H30" i="7"/>
  <c r="H29" i="7"/>
  <c r="H28" i="7"/>
  <c r="H27" i="7"/>
  <c r="H26" i="7"/>
  <c r="H25" i="7"/>
  <c r="H24" i="7"/>
  <c r="H23" i="7"/>
  <c r="H22" i="7"/>
  <c r="H21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F25" i="6"/>
  <c r="F24" i="6"/>
  <c r="F26" i="6" s="1"/>
  <c r="F27" i="6" s="1"/>
  <c r="C22" i="6" s="1"/>
  <c r="F22" i="6"/>
  <c r="C21" i="6" s="1"/>
  <c r="F21" i="6"/>
  <c r="F20" i="6"/>
  <c r="C8" i="6"/>
  <c r="L13" i="5"/>
  <c r="L12" i="5"/>
  <c r="L14" i="5" s="1"/>
  <c r="L15" i="5" s="1"/>
  <c r="C27" i="5" s="1"/>
  <c r="I11" i="5"/>
  <c r="C10" i="5"/>
  <c r="H9" i="5"/>
  <c r="L8" i="5"/>
  <c r="H8" i="5"/>
  <c r="L7" i="5"/>
  <c r="L9" i="5" s="1"/>
  <c r="C26" i="5" s="1"/>
  <c r="H7" i="5"/>
  <c r="F28" i="4"/>
  <c r="F27" i="4"/>
  <c r="F29" i="4" s="1"/>
  <c r="F30" i="4" s="1"/>
  <c r="C25" i="4" s="1"/>
  <c r="F24" i="4"/>
  <c r="F25" i="4" s="1"/>
  <c r="C24" i="4" s="1"/>
  <c r="F23" i="4"/>
  <c r="C10" i="4"/>
  <c r="J9" i="4" s="1"/>
  <c r="I9" i="4"/>
  <c r="I8" i="4"/>
  <c r="I7" i="4"/>
  <c r="I6" i="4"/>
  <c r="I5" i="4"/>
  <c r="C12" i="3"/>
  <c r="D12" i="3" s="1"/>
  <c r="C9" i="4" s="1"/>
  <c r="J8" i="4" s="1"/>
  <c r="C11" i="3"/>
  <c r="D11" i="3" s="1"/>
  <c r="C9" i="3"/>
  <c r="D9" i="3" s="1"/>
  <c r="C12" i="2"/>
  <c r="D12" i="2" s="1"/>
  <c r="C9" i="5" s="1"/>
  <c r="I10" i="5" s="1"/>
  <c r="C11" i="2"/>
  <c r="D11" i="2" s="1"/>
  <c r="C9" i="2"/>
  <c r="D9" i="2" s="1"/>
  <c r="D51" i="16"/>
  <c r="C51" i="16"/>
  <c r="E51" i="16" s="1"/>
  <c r="C46" i="16"/>
  <c r="F27" i="16"/>
  <c r="F26" i="16"/>
  <c r="F25" i="16"/>
  <c r="F24" i="16"/>
  <c r="F23" i="16"/>
  <c r="F22" i="16"/>
  <c r="F21" i="16"/>
  <c r="F20" i="16"/>
  <c r="F19" i="16"/>
  <c r="F28" i="16" s="1"/>
  <c r="D50" i="16" s="1"/>
  <c r="F18" i="16"/>
  <c r="C10" i="3" l="1"/>
  <c r="D10" i="3" s="1"/>
  <c r="C10" i="2"/>
  <c r="D10" i="2" s="1"/>
  <c r="G132" i="7"/>
  <c r="H132" i="7" s="1"/>
  <c r="C7" i="4" s="1"/>
  <c r="Q30" i="9"/>
  <c r="C6" i="2" s="1"/>
  <c r="Q31" i="9"/>
  <c r="C7" i="2" s="1"/>
  <c r="D7" i="2" s="1"/>
  <c r="C8" i="5"/>
  <c r="C8" i="4"/>
  <c r="C6" i="3"/>
  <c r="D52" i="16"/>
  <c r="G128" i="7"/>
  <c r="H128" i="7" s="1"/>
  <c r="C7" i="8"/>
  <c r="D7" i="8" s="1"/>
  <c r="C8" i="3"/>
  <c r="D8" i="3" s="1"/>
  <c r="C8" i="2"/>
  <c r="D8" i="2" s="1"/>
  <c r="G129" i="7"/>
  <c r="H129" i="7" s="1"/>
  <c r="C50" i="16"/>
  <c r="C52" i="16" s="1"/>
  <c r="C9" i="16" s="1"/>
  <c r="C10" i="16" s="1"/>
  <c r="C8" i="8"/>
  <c r="D8" i="8" s="1"/>
  <c r="C6" i="6"/>
  <c r="C6" i="5"/>
  <c r="I9" i="5" s="1"/>
  <c r="C6" i="4"/>
  <c r="J7" i="4" s="1"/>
  <c r="C7" i="6" l="1"/>
  <c r="C7" i="5"/>
  <c r="Q32" i="9"/>
  <c r="C6" i="8"/>
  <c r="G127" i="7"/>
  <c r="H127" i="7" s="1"/>
  <c r="C7" i="3"/>
  <c r="D7" i="3" s="1"/>
  <c r="C13" i="3"/>
  <c r="D13" i="3" s="1"/>
  <c r="D6" i="3"/>
  <c r="C5" i="6"/>
  <c r="C5" i="5"/>
  <c r="I8" i="5" s="1"/>
  <c r="C5" i="4"/>
  <c r="J6" i="4" s="1"/>
  <c r="E52" i="16"/>
  <c r="D9" i="16"/>
  <c r="C13" i="8"/>
  <c r="D6" i="8"/>
  <c r="G134" i="7"/>
  <c r="H134" i="7" s="1"/>
  <c r="E50" i="16"/>
  <c r="C13" i="2"/>
  <c r="D13" i="2" s="1"/>
  <c r="D6" i="2"/>
  <c r="C14" i="8" l="1"/>
  <c r="D14" i="8" s="1"/>
  <c r="D13" i="8"/>
  <c r="G14" i="8" s="1"/>
  <c r="C15" i="8"/>
  <c r="D15" i="8" s="1"/>
  <c r="E9" i="16"/>
  <c r="D10" i="16"/>
  <c r="E10" i="16" s="1"/>
  <c r="C4" i="4"/>
  <c r="C4" i="6"/>
  <c r="C10" i="6" s="1"/>
  <c r="C4" i="5"/>
  <c r="C15" i="6" l="1"/>
  <c r="C20" i="6" s="1"/>
  <c r="C24" i="6" s="1"/>
  <c r="C12" i="6" s="1"/>
  <c r="C13" i="6"/>
  <c r="J5" i="4"/>
  <c r="J11" i="4" s="1"/>
  <c r="C23" i="4" s="1"/>
  <c r="C27" i="4" s="1"/>
  <c r="C13" i="4" s="1"/>
  <c r="C11" i="4"/>
  <c r="C11" i="5"/>
  <c r="I7" i="5"/>
  <c r="I12" i="5" s="1"/>
  <c r="C25" i="5" s="1"/>
  <c r="C29" i="5" s="1"/>
  <c r="C13" i="5" s="1"/>
  <c r="C14" i="6" l="1"/>
  <c r="C16" i="5"/>
  <c r="C14" i="5"/>
  <c r="C15" i="5" s="1"/>
  <c r="C16" i="4"/>
  <c r="C14" i="4"/>
  <c r="C15" i="4" s="1"/>
  <c r="C17" i="4" l="1"/>
  <c r="C17" i="5"/>
  <c r="C18" i="4"/>
  <c r="C18" i="5"/>
</calcChain>
</file>

<file path=xl/sharedStrings.xml><?xml version="1.0" encoding="utf-8"?>
<sst xmlns="http://schemas.openxmlformats.org/spreadsheetml/2006/main" count="2600" uniqueCount="1218">
  <si>
    <t>Rainbow Hospitals – Final TCO (30-Apr-2026 — v1.3, PDF-validated + AA recon) | Primary: Hyderabad | DR: Mumbai</t>
  </si>
  <si>
    <t>Primary: Hyderabad (ap-south-2) | DR: Mumbai (ap-south-1) Multi-Region Active-Passive</t>
  </si>
  <si>
    <t>✅ Confirmed Decisions from Chari Meeting (22-Apr-2026)</t>
  </si>
  <si>
    <t>1. SAP Strategy: SAP servers hosted by 3rd party vendor (HANA upgrade ongoing)</t>
  </si>
  <si>
    <t xml:space="preserve">    BUT: Chari clarified — 'Old ECC data everything should be moved to AWS' → SAP apps included as-is</t>
  </si>
  <si>
    <t>2. Primary DC: Hyderabad (ap-south-2) — active production</t>
  </si>
  <si>
    <t>3. DR: Mumbai (ap-south-1) — Multi-Region Active-Passive with continuous replication</t>
  </si>
  <si>
    <t>4. Chari requested quotes for BOTH Active-Active AND Active-Passive options</t>
  </si>
  <si>
    <t>5. HIS: Lift-and-shift approach. Legacy HIS servers NOT migrated (decommission on-prem)</t>
  </si>
  <si>
    <t>6. MongoDB: AWS Marketplace-based deployment agreed</t>
  </si>
  <si>
    <t>7. Licensing: AWS License Included for Windows + SQL Server (no BYOL)</t>
  </si>
  <si>
    <t>8. Biometric, Blood Bank → Windows SQL stays (Linux SQL not feasible immediately)</t>
  </si>
  <si>
    <t>9. Security: AWS Inspector replaces EDR | AWS Backup replaces CommVault | Palo Alto via Marketplace</t>
  </si>
  <si>
    <t>10. Graviton/ARM: To be explored — Chari checking HIS application compatibility</t>
  </si>
  <si>
    <t>11. S3 + CloudFront: Evaluate for static/web workloads</t>
  </si>
  <si>
    <t>12. Existing AWS workloads: Will MOVE to Hyderabad during mobilise phase (Phase 2)</t>
  </si>
  <si>
    <t>🔴 CRITICAL CORRECTIONS IN THIS VERSION — HYDERABAD INSTANCE AVAILABILITY</t>
  </si>
  <si>
    <t>⚠️ T3a NOT available in HYD. c6a.6xlarge DOES NOT EXIST as instance type (no 6xl in C-series).</t>
  </si>
  <si>
    <t>⚠️ M7i (Intel) also NOT AVAILABLE in Hyderabad — already using M6i (validated earlier)</t>
  </si>
  <si>
    <t>Validated Instance Replacements:</t>
  </si>
  <si>
    <t>• RNBWHYDFDBK (Feedback Non-Prod): t3a.medium → t3.medium (Intel Windows burstable)</t>
  </si>
  <si>
    <t>• RainbowC52431 (ICU Ubuntu Non-Prod): t3a.xlarge → t3.xlarge (Intel, Graviton pending Chari)</t>
  </si>
  <si>
    <t>• BIUAT-MIS (BI UAT Ubuntu): t3a.xlarge → t3.xlarge (Intel, Graviton pending Chari)</t>
  </si>
  <si>
    <t>• Manage_Engine (ME Windows): t3a.2xlarge → t3.2xlarge (Intel Windows)</t>
  </si>
  <si>
    <t>• Existing HMS DEPLOYSERV01: t3a.small → t3.small (Intel, Graviton pending Chari)</t>
  </si>
  <si>
    <t>• newserver-26-08-2025 + New-server-replica (Windows): t3a.xlarge → t3.xlarge (Intel)</t>
  </si>
  <si>
    <t>✅ Validated AWS Services Available in Hyderabad (ap-south-2)</t>
  </si>
  <si>
    <t>EC2 Instances: M6a, M6i, R6i, R6a, R7i, C6a, C6i, T3, T4g — confirmed available</t>
  </si>
  <si>
    <t>Supporting Services: EBS, VPC, NAT, ELB, S3, RDS, Redshift, CloudWatch, CloudTrail</t>
  </si>
  <si>
    <t>Security: GuardDuty, Security Hub, WAF, Config, AWS Inspector, KMS</t>
  </si>
  <si>
    <t>DR: AWS DRS (cross-region to Mumbai), AWS Backup, S3 CRR</t>
  </si>
  <si>
    <t>Marketplace: Palo Alto VM-Series, MongoDB Atlas (launched HYD in March 2025)</t>
  </si>
  <si>
    <t>Global: Route 53, KMS, AWS Marketplace — always available</t>
  </si>
  <si>
    <t>🔄 OTHER CHANGES APPLIED IN THIS VERSION (vs 23-Apr)</t>
  </si>
  <si>
    <t>• Existing HMS workloads moved from Mumbai to Hyderabad (Phase 2 mobilise)</t>
  </si>
  <si>
    <t>• Active-Passive DR uses AWS DRS continuous replication (7 CtrlS + 10 HMS)</t>
  </si>
  <si>
    <t>• MongoDB Atlas ADDED via AWS Marketplace (Hyderabad primary + Mumbai DR)</t>
  </si>
  <si>
    <t>• Palo Alto VM-Series ADDED via AWS Marketplace (HA pair both regions)</t>
  </si>
  <si>
    <t>• AWS Inspector ADDED for both Hyderabad + Mumbai regions</t>
  </si>
  <si>
    <t>• SAP_PI_PRD_New corrected (was t3.nano typo → m6i.4xlarge)</t>
  </si>
  <si>
    <t>• RCHSOLMAN72 corrected (AMD → Intel for SAP embedded HANA cert)</t>
  </si>
  <si>
    <t>• mobileapp DR corrected (Windows → Ubuntu to match primary)</t>
  </si>
  <si>
    <t>• Rainbow_MRD right-sized (c6a.8xlarge → c6a.6xlarge exact match)</t>
  </si>
  <si>
    <t>• EBS headroom added to 7 servers at 85-90% disk utilisation</t>
  </si>
  <si>
    <t>📊 Utilisation Data Analysis (From Customer PPT)</t>
  </si>
  <si>
    <t>• Disk utilisation provided — HIGH across estate (79-99%). Headroom added where needed.</t>
  </si>
  <si>
    <t>• CPU/RAM utilisation data NOT PROVIDED — sizing based on current allocated specs</t>
  </si>
  <si>
    <t>• Recommendation: 2-week CloudWatch observation post-migration for further right-sizing</t>
  </si>
  <si>
    <t>⚠️ Open Items / Action Points</t>
  </si>
  <si>
    <t>1. Active-Active quote alongside Active-Passive — see comparison sheet</t>
  </si>
  <si>
    <t>2. Graviton compatibility for HIS — Chari coming back. T4g successfully used for Ubuntu UAT</t>
  </si>
  <si>
    <t>3. SAP integration with HIS — confirmed, details pending</t>
  </si>
  <si>
    <t>4. Palo Alto BYOL license — get quote from Rahul (Minfy)</t>
  </si>
  <si>
    <t>5. MongoDB Atlas multi-region DR confirmation with Chari</t>
  </si>
  <si>
    <t>6. 2 unknown Windows servers (newserver-26-08-2025) — confirm purpose</t>
  </si>
  <si>
    <t>7. SAP HANA r6i.2xlarge is below SAP cert threshold — discuss with Chari</t>
  </si>
  <si>
    <t>📝 Changes in v1.2 (30-Apr-2026) — PDF Validation Pass</t>
  </si>
  <si>
    <t>• Validated against AWS Pricing Calculator export dated 30-Apr-2026 (AWS-TCO-30April.pdf).</t>
  </si>
  <si>
    <t>• Primary TCO Hyderabad: 7 EBS allocations corrected; SAP-DevTesting instance updated m6a.2xlarge → r6i.xlarge per AWS Calculator. Total $/mo unchanged at $12,450.43.</t>
  </si>
  <si>
    <t>• DR TCO Mumbai: RAINDC03 DR instance label corrected m6i.large → m6i.xlarge (cost was already correct at $226.67). Total unchanged at $8,281.29.</t>
  </si>
  <si>
    <t>• SuppServices4ExistingHIS: VPC HYD $271.14 → $329.83; VPC Mumbai DR $137.76 → $329.83; Inter-region DT $192.07 → $176.13; added S3 DR (Mumbai 2TB CRR) $56.60. Net total change: $3,657.05 → $3,948.48 (+$291.43).</t>
  </si>
  <si>
    <t>• Marketplace Offerings: validated within $0.38 rounding tolerance, no edits.</t>
  </si>
  <si>
    <t>• Existing AWS HMS Phase 2: DEPLOYSERV01 $10.13 → $10.87; Grafana Monitoring $71.21 → $63.32. Net total change: $6,216.29 → $6,209.14 (-$7.15). Region typo at CloudWatch DR row corrected (0 → Mumbai).</t>
  </si>
  <si>
    <t>• Consolidated Master View, Consolidated Summary, Master KareXpert, Master MyHealthcare: re-pointed Supporting Services reference from 'Supporting Services'!F28 → 'SuppServices4ExistingHIS'!F29 (PDF-validated source).</t>
  </si>
  <si>
    <t>• Active-Active vs Passive: DR Supporting Services SUMPRODUCT re-pointed to SuppServices4ExistingHIS for consistency.</t>
  </si>
  <si>
    <t>• 'Supporting Services' sheet (with Logically Air-Gapped Vault row added in v1.1) is preserved as a separate scenario sheet but is no longer referenced by consolidated views — calculator-validated baseline is the source of truth in v1.2.</t>
  </si>
  <si>
    <t>📝 Changes in v1.3 (30-Apr-2026) — Active-Active Supporting Services Reconciliation</t>
  </si>
  <si>
    <t>• Active-Active vs Passive sheet: AA Mumbai supporting services updated to reflect v1.2 PDF validation and correct internal inconsistencies.</t>
  </si>
  <si>
    <t>• VPC + NAT Gateway (AA Mumbai): $271.14 → $329.83 (matches updated HYD per PDF).</t>
  </si>
  <si>
    <t>• Security Hub (AA Mumbai): $85 → $85.01 (matches updated HYD per PDF).</t>
  </si>
  <si>
    <t>• AWS Backup (AA Mumbai): $268.55 → $391.78 (full primary backup, matches HYD per PDF). Previous value was incorrectly lower than even AP DR CRR backup ($295.62).</t>
  </si>
  <si>
    <t>• Inter-region Data Transfer (AA): $120 → $176.13 (set to AP value as floor; AA bidirectional traffic likely exceeds this — to be validated separately).</t>
  </si>
  <si>
    <t>• Data Transfer Egress (AA Mumbai): $234.25 → $303.25 (combined intra+inbound+egress, matching active-region HYD per PDF).</t>
  </si>
  <si>
    <t>• AA Mumbai supporting total: $1,505.24 → $1,812.30 (+$307.06).</t>
  </si>
  <si>
    <t>• AA total DR cost: $12,818.24 → $13,125.30. Active-Active is now correctly higher than Active-Passive on like-for-like services (the residual lower AA total versus AP total reflects only that AA does not require AWS DRS at $1,191.28).</t>
  </si>
  <si>
    <t>Rainbow Hospitals — Complete TCO with KareXpert Option</t>
  </si>
  <si>
    <t>Primary: Hyderabad | DR: Mumbai Active-Passive | HIS vendor-specific costs added</t>
  </si>
  <si>
    <t>Category</t>
  </si>
  <si>
    <t>Monthly (USD)</t>
  </si>
  <si>
    <t>Annual (USD)</t>
  </si>
  <si>
    <t>Notes</t>
  </si>
  <si>
    <t>ControlS - Production Servers (CSP 3yr)</t>
  </si>
  <si>
    <t>Existing ControlS migration servers.</t>
  </si>
  <si>
    <t>ControlS - Non-Prod Servers (OD best)</t>
  </si>
  <si>
    <t>Cheaper of 75% util or 8hr/day.</t>
  </si>
  <si>
    <t>DR - Mumbai (Active-Passive)</t>
  </si>
  <si>
    <t>10 critical servers pilot-light.</t>
  </si>
  <si>
    <t>Supporting Services (HYD + Mumbai)</t>
  </si>
  <si>
    <t>Inspector, Backup 365d, WAF, DRS.</t>
  </si>
  <si>
    <t>Marketplace (Palo Alto + MongoDB)</t>
  </si>
  <si>
    <t>Palo Alto HA + MongoDB Atlas.</t>
  </si>
  <si>
    <t>Existing AWS HMS (Phase 2)</t>
  </si>
  <si>
    <t>Moving Mumbai → HYD + DR Mumbai.</t>
  </si>
  <si>
    <t>NEW HIS — KareXpert Option</t>
  </si>
  <si>
    <t>See 'HIS BOM - KareXpert' sheet for detail.</t>
  </si>
  <si>
    <t>GRAND TOTAL (KareXpert Option)</t>
  </si>
  <si>
    <t>Complete Rainbow AWS Landscape</t>
  </si>
  <si>
    <t>HIS Vendor Cost Comparison</t>
  </si>
  <si>
    <t>MyHealthcare (MHEA): $8,382.62/mo (214 Graviton VMs, microservices on EC2)</t>
  </si>
  <si>
    <t>KareXpert: $4,768.17/mo (24 EKS worker nodes, Kubernetes-based)</t>
  </si>
  <si>
    <t>Difference: $3,614.45/mo ($43,373.40/yr)</t>
  </si>
  <si>
    <t>⚠️ All HIS EC2 rates are estimates — validate in AWS Pricing Calculator before submission.</t>
  </si>
  <si>
    <t>⚠️ KareXpert MongoDB M60 may REPLACE existing Atlas clusters — clarify with vendor.</t>
  </si>
  <si>
    <t>KareXpert DR Rough 1,500 to 2,500 USD per month</t>
  </si>
  <si>
    <t>Rainbow Hospitals — Complete TCO with MyHealthcare Option</t>
  </si>
  <si>
    <t>NEW HIS — MyHealthcare Option</t>
  </si>
  <si>
    <t>See 'HIS BOM - MyHealthcare' sheet for detail.</t>
  </si>
  <si>
    <t>GRAND TOTAL (MyHealthcare Option)</t>
  </si>
  <si>
    <t>MyHealthcare DR rough estimate 3,000 to 4,000 USD per month</t>
  </si>
  <si>
    <t>Breakup</t>
  </si>
  <si>
    <t>Annual Cost</t>
  </si>
  <si>
    <t>Cntrl S Infra</t>
  </si>
  <si>
    <t xml:space="preserve"> MAP Credits</t>
  </si>
  <si>
    <t>DR</t>
  </si>
  <si>
    <t>Shared Services</t>
  </si>
  <si>
    <t>Marketplace</t>
  </si>
  <si>
    <t>Existing HIS</t>
  </si>
  <si>
    <t xml:space="preserve">Existing application resources will get optimized only snapshot will be there. </t>
  </si>
  <si>
    <t>MyHealthcare</t>
  </si>
  <si>
    <t>MyHealthcare DR (approx) $4,000 MRR</t>
  </si>
  <si>
    <t>Total Cost  (Existing + Cntrl S + DR + Marketplace + )</t>
  </si>
  <si>
    <t>Total ARR</t>
  </si>
  <si>
    <t>Total MAP Credits</t>
  </si>
  <si>
    <t>Minfy Discount</t>
  </si>
  <si>
    <t xml:space="preserve">Total Effective Cost Year 1 </t>
  </si>
  <si>
    <t>MS Charges</t>
  </si>
  <si>
    <t>Total TCO Including MS Year 1 with Marketplace</t>
  </si>
  <si>
    <t>Total Effective Cost Year 1 Without Marketplace (SaaS - MongoDB + PaloAlto)</t>
  </si>
  <si>
    <t xml:space="preserve">Note - No Discount/Credits will be applied on Marketplace </t>
  </si>
  <si>
    <t xml:space="preserve">Note: Optimize the Existing HIS running in AWS, only the snapshots will be there. </t>
  </si>
  <si>
    <t>MAP Credits</t>
  </si>
  <si>
    <t>SAP Credits</t>
  </si>
  <si>
    <t>Windows</t>
  </si>
  <si>
    <t>SAP</t>
  </si>
  <si>
    <t>windows</t>
  </si>
  <si>
    <t>Existing AWS HIS</t>
  </si>
  <si>
    <t>KareXpert</t>
  </si>
  <si>
    <t>SAP Total ARR</t>
  </si>
  <si>
    <t>KareXpert DR (Approx) - $2,500 / MRR</t>
  </si>
  <si>
    <t>KareExpert</t>
  </si>
  <si>
    <t>Total Cost  (Existing + Cntrl S + DR + Marketplace + New HIS)</t>
  </si>
  <si>
    <t>KareExpert DR</t>
  </si>
  <si>
    <t>Total</t>
  </si>
  <si>
    <t xml:space="preserve">AWS Total Effective Cost for Year 1 </t>
  </si>
  <si>
    <t>Total Win</t>
  </si>
  <si>
    <t>Minfy MS Cost</t>
  </si>
  <si>
    <t>AD&amp;PACS</t>
  </si>
  <si>
    <t>Existing AWS</t>
  </si>
  <si>
    <t>Total Cost  (Existing + Cntrl S + DR + Marketplace + AD&amp;PACS)</t>
  </si>
  <si>
    <t>DA</t>
  </si>
  <si>
    <t>Rainbow Hospitals — Consolidated Master Pricing View (30-Apr-2026 — v1.3)</t>
  </si>
  <si>
    <t>All EC2 prices validated against AWS Pricing Calculator export (24-Apr-2026). Filter 'Hosting Environment' for split views.</t>
  </si>
  <si>
    <t>S.No</t>
  </si>
  <si>
    <t>Server / Service</t>
  </si>
  <si>
    <t>Hosting Env</t>
  </si>
  <si>
    <t>Region</t>
  </si>
  <si>
    <t>Instance</t>
  </si>
  <si>
    <t>Scope</t>
  </si>
  <si>
    <t>CtrlS PRODUCTION (PDF Validated)</t>
  </si>
  <si>
    <t>RAINDC03</t>
  </si>
  <si>
    <t>CtrlS → AWS</t>
  </si>
  <si>
    <t>EC2 - Prod</t>
  </si>
  <si>
    <t>Hyderabad</t>
  </si>
  <si>
    <t>m6i.xlarge</t>
  </si>
  <si>
    <t>In Scope</t>
  </si>
  <si>
    <t>AD Primary DC</t>
  </si>
  <si>
    <t>RAINDC02</t>
  </si>
  <si>
    <t>AD Secondary DC</t>
  </si>
  <si>
    <t>Rchbbserver</t>
  </si>
  <si>
    <t>m6a.4xlarge</t>
  </si>
  <si>
    <t>Blood Bank + SQL Std</t>
  </si>
  <si>
    <t>Rainbow_MRD</t>
  </si>
  <si>
    <t>c6a.8xlarge</t>
  </si>
  <si>
    <t>MRD OCR</t>
  </si>
  <si>
    <t>RCHAEON</t>
  </si>
  <si>
    <t>r6a.4xlarge</t>
  </si>
  <si>
    <t>Biometric + SQL Std</t>
  </si>
  <si>
    <t>RainbowRPA</t>
  </si>
  <si>
    <t>m6a.2xlarge</t>
  </si>
  <si>
    <t>RPA Reporting</t>
  </si>
  <si>
    <t>SAP_PI_PRD</t>
  </si>
  <si>
    <t>EC2 - Prod (SAP)</t>
  </si>
  <si>
    <t>SAP PI/PO</t>
  </si>
  <si>
    <t>repsapGRP</t>
  </si>
  <si>
    <t>r6a.2xlarge</t>
  </si>
  <si>
    <t>SAP ECC Node A (was HANA)</t>
  </si>
  <si>
    <t>repsapAPP</t>
  </si>
  <si>
    <t>SAP ECC Node B (was HANA)</t>
  </si>
  <si>
    <t>RCHSOLMAN72</t>
  </si>
  <si>
    <t>SolMan (no longer HANA)</t>
  </si>
  <si>
    <t>Rainbow-NC-VCiso</t>
  </si>
  <si>
    <t>vCISO Security</t>
  </si>
  <si>
    <t>Rainbow-NC-Syslog</t>
  </si>
  <si>
    <t>c6a.2xlarge</t>
  </si>
  <si>
    <t>Syslog</t>
  </si>
  <si>
    <t>RAINBOW80992</t>
  </si>
  <si>
    <t>IVF Clinical</t>
  </si>
  <si>
    <t>mobileapp</t>
  </si>
  <si>
    <t>Mobile App</t>
  </si>
  <si>
    <t>CtrlS NON-PRODUCTION (PDF Validated)</t>
  </si>
  <si>
    <t>RCHECCDEC</t>
  </si>
  <si>
    <t>EC2 - Non-Prod (SAP)</t>
  </si>
  <si>
    <t>m6a.xlarge</t>
  </si>
  <si>
    <t>SAP ECC QA/Dev</t>
  </si>
  <si>
    <t>RNBWHYDFDBK</t>
  </si>
  <si>
    <t>EC2 - Non-Prod</t>
  </si>
  <si>
    <t>t3.medium</t>
  </si>
  <si>
    <t>Feedback</t>
  </si>
  <si>
    <t>RainbowC52431</t>
  </si>
  <si>
    <t>t3.xlarge</t>
  </si>
  <si>
    <t>ICU Monitor</t>
  </si>
  <si>
    <t>SAP_PI_DEV</t>
  </si>
  <si>
    <t>SAP PI Dev</t>
  </si>
  <si>
    <t>sapgst</t>
  </si>
  <si>
    <t>SAP GST</t>
  </si>
  <si>
    <t>BIUAT-MIS</t>
  </si>
  <si>
    <t>BI UAT</t>
  </si>
  <si>
    <t>Manage_Engine</t>
  </si>
  <si>
    <t>t3.2xlarge</t>
  </si>
  <si>
    <t>ManageEngine</t>
  </si>
  <si>
    <t>Rainbow-HIS-UAT</t>
  </si>
  <si>
    <t>HIS UAT</t>
  </si>
  <si>
    <t>SAP-DevTesting</t>
  </si>
  <si>
    <t>SAP ECC Dev (was HANA)</t>
  </si>
  <si>
    <t>SAP-QASTesting</t>
  </si>
  <si>
    <t>SAP ECC QA (was HANA)</t>
  </si>
  <si>
    <t>DR — MUMBAI (PDF Validated)</t>
  </si>
  <si>
    <t>RAINDC03 DR</t>
  </si>
  <si>
    <t>CtrlS → AWS DR</t>
  </si>
  <si>
    <t>EC2 - DR</t>
  </si>
  <si>
    <t>Mumbai</t>
  </si>
  <si>
    <t>AD DC DR</t>
  </si>
  <si>
    <t>Rchbbserver DR</t>
  </si>
  <si>
    <t>Blood Bank DR</t>
  </si>
  <si>
    <t>RCHAEON DR</t>
  </si>
  <si>
    <t>Biometric DR</t>
  </si>
  <si>
    <t>Rainbow_MRD DR</t>
  </si>
  <si>
    <t>MRD DR</t>
  </si>
  <si>
    <t>SAP_PI_PRD DR</t>
  </si>
  <si>
    <t>EC2 - DR (SAP)</t>
  </si>
  <si>
    <t>SAP PI DR</t>
  </si>
  <si>
    <t>repsapGRP DR</t>
  </si>
  <si>
    <t>SAP ECC DR A</t>
  </si>
  <si>
    <t>repsapAPP DR</t>
  </si>
  <si>
    <t>SAP ECC DR B</t>
  </si>
  <si>
    <t>RCHSOLMAN72 DR</t>
  </si>
  <si>
    <t>r6a.xlarge</t>
  </si>
  <si>
    <t>SolMan DR</t>
  </si>
  <si>
    <t>RAINBOW80992 DR</t>
  </si>
  <si>
    <t>m6a.large</t>
  </si>
  <si>
    <t>IVF DR</t>
  </si>
  <si>
    <t>mobileapp DR</t>
  </si>
  <si>
    <t>Mobile DR</t>
  </si>
  <si>
    <t>EXISTING AWS HMS (Phase 2)</t>
  </si>
  <si>
    <t>AAHISRPTSERV02</t>
  </si>
  <si>
    <t>EC2</t>
  </si>
  <si>
    <t>Phase 2</t>
  </si>
  <si>
    <t>HMS Report 2</t>
  </si>
  <si>
    <t>AAINTFACESERV02</t>
  </si>
  <si>
    <t>Interface 2</t>
  </si>
  <si>
    <t>AAHISAPPSERV02</t>
  </si>
  <si>
    <t>HMS App 2</t>
  </si>
  <si>
    <t>AAHISAPPSERV03</t>
  </si>
  <si>
    <t>HMS App 3</t>
  </si>
  <si>
    <t>MIRTHDBSERV01-DR</t>
  </si>
  <si>
    <t>Mirth DR</t>
  </si>
  <si>
    <t>AAINTFACESERV01</t>
  </si>
  <si>
    <t>Interface 1</t>
  </si>
  <si>
    <t>AAHISAPPSERV01</t>
  </si>
  <si>
    <t>HMS App 1</t>
  </si>
  <si>
    <t>AAHISRPTSERV01</t>
  </si>
  <si>
    <t>HMS Report 1</t>
  </si>
  <si>
    <t>MIRTHDBSERV01-Prod</t>
  </si>
  <si>
    <t>Mirth Primary</t>
  </si>
  <si>
    <t>DEPLOYSERV01</t>
  </si>
  <si>
    <t>t3.small</t>
  </si>
  <si>
    <t>Deploy</t>
  </si>
  <si>
    <t>Grafana</t>
  </si>
  <si>
    <t>c6a.large</t>
  </si>
  <si>
    <t>Monitoring</t>
  </si>
  <si>
    <t>newserver</t>
  </si>
  <si>
    <t>Confirm</t>
  </si>
  <si>
    <t>New-server-replica</t>
  </si>
  <si>
    <t>Redshift</t>
  </si>
  <si>
    <t>Managed</t>
  </si>
  <si>
    <t>2x dc2.large</t>
  </si>
  <si>
    <t>Analytics</t>
  </si>
  <si>
    <t>HMS S3</t>
  </si>
  <si>
    <t>Storage</t>
  </si>
  <si>
    <t>S3 8TB</t>
  </si>
  <si>
    <t>HMS storage</t>
  </si>
  <si>
    <t>RDS MySQL</t>
  </si>
  <si>
    <t>db.t4g.small</t>
  </si>
  <si>
    <t>HMS DB</t>
  </si>
  <si>
    <t>HMS ELB</t>
  </si>
  <si>
    <t>Network</t>
  </si>
  <si>
    <t>ALB+NLB</t>
  </si>
  <si>
    <t>LBs</t>
  </si>
  <si>
    <t>Glue</t>
  </si>
  <si>
    <t>2 DPUs</t>
  </si>
  <si>
    <t>ETL</t>
  </si>
  <si>
    <t>VPC Transfer</t>
  </si>
  <si>
    <t>4TB+16TB</t>
  </si>
  <si>
    <t>GuardDuty</t>
  </si>
  <si>
    <t>Security</t>
  </si>
  <si>
    <t>Various</t>
  </si>
  <si>
    <t>Threat</t>
  </si>
  <si>
    <t>CloudWatch</t>
  </si>
  <si>
    <t>Monitor</t>
  </si>
  <si>
    <t>320m 122GB</t>
  </si>
  <si>
    <t>Backup</t>
  </si>
  <si>
    <t>3.5TB</t>
  </si>
  <si>
    <t>HMS DRS</t>
  </si>
  <si>
    <t>10 servers</t>
  </si>
  <si>
    <t>DRS</t>
  </si>
  <si>
    <t>Redshift DR</t>
  </si>
  <si>
    <t>S3 CRR</t>
  </si>
  <si>
    <t>8TB</t>
  </si>
  <si>
    <t>S3 DR</t>
  </si>
  <si>
    <t>RDS CRR</t>
  </si>
  <si>
    <t>RDS DR</t>
  </si>
  <si>
    <t>ELB DR</t>
  </si>
  <si>
    <t>DR LBs</t>
  </si>
  <si>
    <t>GuardDuty DR</t>
  </si>
  <si>
    <t>DR sec</t>
  </si>
  <si>
    <t>CloudWatch DR</t>
  </si>
  <si>
    <t>100m</t>
  </si>
  <si>
    <t>DR mon</t>
  </si>
  <si>
    <t>Backup CRR</t>
  </si>
  <si>
    <t>DR backup</t>
  </si>
  <si>
    <t>SUPPORTING SERVICES (PDF Updated)</t>
  </si>
  <si>
    <t>DT Intra+Inbound</t>
  </si>
  <si>
    <t>Supporting</t>
  </si>
  <si>
    <t>3.5 TB</t>
  </si>
  <si>
    <t>PDF combined</t>
  </si>
  <si>
    <t>DT Egress</t>
  </si>
  <si>
    <t>2.5 TB</t>
  </si>
  <si>
    <t>Internet</t>
  </si>
  <si>
    <t>VPC+NAT</t>
  </si>
  <si>
    <t>NAT+VPN</t>
  </si>
  <si>
    <t>HA NAT</t>
  </si>
  <si>
    <t>Inspector</t>
  </si>
  <si>
    <t>24 EC2</t>
  </si>
  <si>
    <t>PDF calc</t>
  </si>
  <si>
    <t>Flow+EBS</t>
  </si>
  <si>
    <t>Config</t>
  </si>
  <si>
    <t>Compliance</t>
  </si>
  <si>
    <t>Continuous</t>
  </si>
  <si>
    <t>Audit</t>
  </si>
  <si>
    <t>Security Hub</t>
  </si>
  <si>
    <t>CSPM</t>
  </si>
  <si>
    <t>Dashboard</t>
  </si>
  <si>
    <t>CloudTrail</t>
  </si>
  <si>
    <t>Mgmt+data</t>
  </si>
  <si>
    <t>Logging</t>
  </si>
  <si>
    <t>WAF</t>
  </si>
  <si>
    <t>1 ACL+5</t>
  </si>
  <si>
    <t>Web</t>
  </si>
  <si>
    <t>150m 40GB</t>
  </si>
  <si>
    <t>5TB</t>
  </si>
  <si>
    <t>365-day retention</t>
  </si>
  <si>
    <t>ELB 3xALB</t>
  </si>
  <si>
    <t>3 ALBs</t>
  </si>
  <si>
    <t>Public</t>
  </si>
  <si>
    <t>S3 Standard</t>
  </si>
  <si>
    <t>2 TB</t>
  </si>
  <si>
    <t>Logs</t>
  </si>
  <si>
    <t>S3 IT</t>
  </si>
  <si>
    <t>10TB MRD</t>
  </si>
  <si>
    <t>Archival</t>
  </si>
  <si>
    <t>Sys Manager</t>
  </si>
  <si>
    <t>Mgmt</t>
  </si>
  <si>
    <t>Patch</t>
  </si>
  <si>
    <t>Free</t>
  </si>
  <si>
    <t>KMS</t>
  </si>
  <si>
    <t>3 CMKs</t>
  </si>
  <si>
    <t>Route 53</t>
  </si>
  <si>
    <t>Global</t>
  </si>
  <si>
    <t>Failover</t>
  </si>
  <si>
    <t>7 servers</t>
  </si>
  <si>
    <t>Inter-Region</t>
  </si>
  <si>
    <t>HYD↔MUM</t>
  </si>
  <si>
    <t>3TB</t>
  </si>
  <si>
    <t>Cross-region</t>
  </si>
  <si>
    <t>VPC+NAT DR</t>
  </si>
  <si>
    <t>Inspector DR</t>
  </si>
  <si>
    <t>DR scan</t>
  </si>
  <si>
    <t>Backup DR</t>
  </si>
  <si>
    <t>CRR</t>
  </si>
  <si>
    <t>365-day CRR</t>
  </si>
  <si>
    <t>MARKETPLACE (PALO ALTO 365-DAY + MONGODB)</t>
  </si>
  <si>
    <t>PA EC2 HYD</t>
  </si>
  <si>
    <t>Firewall</t>
  </si>
  <si>
    <t>2x c6i.xlarge</t>
  </si>
  <si>
    <t>CSP 3yr</t>
  </si>
  <si>
    <t>PA EBS HYD</t>
  </si>
  <si>
    <t>2x 100GB gp3</t>
  </si>
  <si>
    <t>OS+logs</t>
  </si>
  <si>
    <t>GWLB HYD</t>
  </si>
  <si>
    <t>GWLB</t>
  </si>
  <si>
    <t>Routing</t>
  </si>
  <si>
    <t>PA 365-day HYD</t>
  </si>
  <si>
    <t>PAYG 365-day</t>
  </si>
  <si>
    <t>71% off</t>
  </si>
  <si>
    <t>PA EC2 DR</t>
  </si>
  <si>
    <t>Standby</t>
  </si>
  <si>
    <t>PA EBS DR</t>
  </si>
  <si>
    <t>DR EBS</t>
  </si>
  <si>
    <t>GWLB DR</t>
  </si>
  <si>
    <t>PA 365-day DR</t>
  </si>
  <si>
    <t>DR pair</t>
  </si>
  <si>
    <t>MongoDB 1</t>
  </si>
  <si>
    <t>Database</t>
  </si>
  <si>
    <t>M40 16GB</t>
  </si>
  <si>
    <t>Primary</t>
  </si>
  <si>
    <t>MongoDB 2</t>
  </si>
  <si>
    <t>M50 32GB</t>
  </si>
  <si>
    <t>Secondary</t>
  </si>
  <si>
    <t>MongoDB SAP</t>
  </si>
  <si>
    <t>M30 8GB</t>
  </si>
  <si>
    <t>MongoDB DR</t>
  </si>
  <si>
    <t>30-40%</t>
  </si>
  <si>
    <t>CRM</t>
  </si>
  <si>
    <t>SaaS</t>
  </si>
  <si>
    <t>TBC</t>
  </si>
  <si>
    <t>Pending</t>
  </si>
  <si>
    <t>⚠️ Pending</t>
  </si>
  <si>
    <t>HMS BOQ</t>
  </si>
  <si>
    <t>Done</t>
  </si>
  <si>
    <t>REMOVED — PACS &amp; AD out of scope</t>
  </si>
  <si>
    <t>CONSOLIDATED TOTALS (PDF-Validated)</t>
  </si>
  <si>
    <t>CtrlS Production</t>
  </si>
  <si>
    <t>CtrlS Non-Prod</t>
  </si>
  <si>
    <t>DR Mumbai</t>
  </si>
  <si>
    <t>Existing AWS HMS</t>
  </si>
  <si>
    <t>Supporting Services</t>
  </si>
  <si>
    <t>GRAND TOTAL (Confirmed)</t>
  </si>
  <si>
    <t>TCO</t>
  </si>
  <si>
    <t>https://calculator.aws/#/estimate?id=577f59faba382953de9dad436fb4133589ba6d61</t>
  </si>
  <si>
    <t>MRR</t>
  </si>
  <si>
    <t>ARR</t>
  </si>
  <si>
    <t>Rainbow Hospitals – Final Consolidated TCO (30-Apr-2026 — v1.3, PDF-validated)</t>
  </si>
  <si>
    <t>Primary: Hyderabad | DR: Mumbai Active-Passive | Phase 2: HMS to HYD</t>
  </si>
  <si>
    <t>Primary - Production Servers (CSP 3yr)</t>
  </si>
  <si>
    <t>CSP 3yr No Upfront ~50% discount.</t>
  </si>
  <si>
    <t>Primary - Non-Prod Servers (OD best)</t>
  </si>
  <si>
    <t>Inspector, Backup, Config, WAF, DRS.</t>
  </si>
  <si>
    <t>Marketplace Offerings (Palo Alto + MongoDB)</t>
  </si>
  <si>
    <t>Palo Alto PAYG 365-day + MongoDB Atlas. No BYOL.</t>
  </si>
  <si>
    <t>GRAND TOTAL (Complete Rainbow AWS Landscape)</t>
  </si>
  <si>
    <t>Phase 1 + Phase 2 + DR + Marketplace + AD/PACS</t>
  </si>
  <si>
    <t>Excluding Marketplace offerings</t>
  </si>
  <si>
    <t>Excluding Phase 2 (Existing AWS HMS)</t>
  </si>
  <si>
    <t>🔴 HYD Availability Corrections Applied</t>
  </si>
  <si>
    <t>CtrlS Primary: RNBWHYDFDBK, RainbowC52431, BIUAT-MIS, Manage_Engine</t>
  </si>
  <si>
    <t xml:space="preserve">  → T3a replaced with T3 (Windows) or T3 (Linux/Intel - cheaper)</t>
  </si>
  <si>
    <t>Existing HMS: DEPLOYSERV01, newserver-26-08-2025, New-server-replica</t>
  </si>
  <si>
    <t xml:space="preserve">  → T3a replaced with T3 (Windows) or T3 (Linux)</t>
  </si>
  <si>
    <t>Net impact: ~+$45/mo (T3 replacements) - ~$25/mo (T3 savings on Linux) = minimal</t>
  </si>
  <si>
    <t>📊 Comparison with Previous TCO</t>
  </si>
  <si>
    <t>TCO 24-Apr (PDF): $30,794.86/mo | $369,540.94/yr (AWS Pricing Calculator)</t>
  </si>
  <si>
    <t>TCO 25-Apr: See Grand Total above (includes AD/PACS + Marketplace)</t>
  </si>
  <si>
    <t>📋 Next Steps</t>
  </si>
  <si>
    <t>1. Share Active-Active quote (Chari requested) — see dedicated sheet</t>
  </si>
  <si>
    <t>2. Follow up with Chari for CPU/RAM utilisation data</t>
  </si>
  <si>
    <t>3. Intel compatibility for HIS — T3 successfully used for Ubuntu UAT</t>
  </si>
  <si>
    <t>4. Palo Alto: 365-day PAYG confirmed — no BYOL. Annual commitment with AWS.</t>
  </si>
  <si>
    <t>5. Confirm MongoDB Atlas single-region vs multi-region DR with Chari</t>
  </si>
  <si>
    <t>6. Confirm 2 unknown Windows servers (newserver-26-08-2025)</t>
  </si>
  <si>
    <t>7. Phase 2 timeline: existing AWS Mumbai → Hyderabad</t>
  </si>
  <si>
    <t>8. SAP HANA r6i.2xlarge certification risk discussion with Chari</t>
  </si>
  <si>
    <t>10. AD &amp; PACS: Confirm PACS server specs from customer to finalize sizing</t>
  </si>
  <si>
    <t>11. AD &amp; PACS: Confirm PACS imaging storage volume for FSx sizing</t>
  </si>
  <si>
    <t>Primary Region: Hyderabad (ap-south-2) — ControlS Migration | HYD Availability Validated</t>
  </si>
  <si>
    <t>Server Name</t>
  </si>
  <si>
    <t>SAP?</t>
  </si>
  <si>
    <t>Group</t>
  </si>
  <si>
    <t>OS</t>
  </si>
  <si>
    <t>Processor</t>
  </si>
  <si>
    <t>vCPU</t>
  </si>
  <si>
    <t>RAM (GB)</t>
  </si>
  <si>
    <t>Pricing</t>
  </si>
  <si>
    <t>EBS (GB)</t>
  </si>
  <si>
    <t>EBS Type</t>
  </si>
  <si>
    <t>Disk Util %</t>
  </si>
  <si>
    <t>EC2 $/mo</t>
  </si>
  <si>
    <t>EBS $/mo</t>
  </si>
  <si>
    <t>Total $/mo</t>
  </si>
  <si>
    <t>Sizing Justification</t>
  </si>
  <si>
    <t>No</t>
  </si>
  <si>
    <t>Production</t>
  </si>
  <si>
    <t>Windows Server 2019</t>
  </si>
  <si>
    <t>Intel</t>
  </si>
  <si>
    <t>CSP 3yr No Upfront</t>
  </si>
  <si>
    <t>gp3</t>
  </si>
  <si>
    <t>No data provided</t>
  </si>
  <si>
    <t>AD Primary DC. Intel M6i (4 vCPU / 16 GB) matches source allocation.</t>
  </si>
  <si>
    <t>AD Secondary DC. Placed in different AZ for high availability.</t>
  </si>
  <si>
    <t>YES</t>
  </si>
  <si>
    <t>Non-Prod</t>
  </si>
  <si>
    <t>Windows 2012 R2→2019</t>
  </si>
  <si>
    <t>AMD</t>
  </si>
  <si>
    <t>OD 8hr/day</t>
  </si>
  <si>
    <t>Disk: 85.71%</t>
  </si>
  <si>
    <t>SAP ECC Quality/Dev. AMD M6a certified for SAP NetWeaver. EBS increased to 2250 GB for disk headroom.</t>
  </si>
  <si>
    <t>HISPRODDB01_new</t>
  </si>
  <si>
    <t>OUT OF SCOPE</t>
  </si>
  <si>
    <t>Legacy</t>
  </si>
  <si>
    <t>Windows 2012 R2</t>
  </si>
  <si>
    <t>-</t>
  </si>
  <si>
    <t>Disk: 88.67%</t>
  </si>
  <si>
    <t>Legacy HIS DB — confirmed for decommission. Not migrated to AWS.</t>
  </si>
  <si>
    <t>WIN-AKB5JTJTA8S</t>
  </si>
  <si>
    <t>Legacy HIS SQL Server — not migrated. Decommission on-prem.</t>
  </si>
  <si>
    <t>HISPRODAPP02</t>
  </si>
  <si>
    <t>Disk: 99.82%</t>
  </si>
  <si>
    <t>Legacy HIS App Server — not migrated. Disk at critical capacity.</t>
  </si>
  <si>
    <t>Rchbbserver (Blood Bank)</t>
  </si>
  <si>
    <t>Blood Bank + SQL Server Standard. AMD M6a.4xlarge (16 vCPU / 64 GB). Windows SQL required. io2 EBS for ACID compliance.</t>
  </si>
  <si>
    <t>Rainbow_MRD_64703_NEW</t>
  </si>
  <si>
    <t>Ubuntu Pro 22.04</t>
  </si>
  <si>
    <t>Disk: 85.13%</t>
  </si>
  <si>
    <t>MRD OCR compute-intensive. AMD C6a.8xlarge (32 vCPU / 64 GB). Recommend S3 Intelligent-Tiering for cold archive data.</t>
  </si>
  <si>
    <t>Windows Server 2022</t>
  </si>
  <si>
    <t>Legacy Feedback application. Non-production burstable workload.</t>
  </si>
  <si>
    <t>ICU monitoring. Non-production burstable. Ubuntu 16.04 EOL — upgrade to 22.04 during migration.</t>
  </si>
  <si>
    <t>RCHAEON (Biometric)</t>
  </si>
  <si>
    <t>Biometric + SQL Server Standard. AMD R6a.4xlarge (16 vCPU / 128 GB). io2 EBS for transactional consistency.</t>
  </si>
  <si>
    <t>RPA and Reporting server. AMD M6a.2xlarge (8 vCPU / 32 GB) general-purpose.</t>
  </si>
  <si>
    <t>SAP_PI_PRD_New</t>
  </si>
  <si>
    <t>Disk: 90.09%</t>
  </si>
  <si>
    <t>SAP PI/PO Production. AMD M6a.4xlarge certified for SAP NetWeaver. EBS 1400 GB (headroom from 90% disk util).</t>
  </si>
  <si>
    <t>SAP_PI_DEV_New</t>
  </si>
  <si>
    <t>Disk: 81.59%</t>
  </si>
  <si>
    <t>SAP PI/PO Development. AMD M6a certified for SAP NetWeaver non-production.</t>
  </si>
  <si>
    <t>repsapGRP (SAPPRDclusA)</t>
  </si>
  <si>
    <t>SAP ECC Production (was HANA — now out of scope). AMD R6a.2xlarge (8/64). EBS io2→gp3. SAP NetWeaver certified on AMD.</t>
  </si>
  <si>
    <t>repsapAPP (SAPPRDclusB)</t>
  </si>
  <si>
    <t>SAP ECC Production Node B. AMD R6a.2xlarge (8/64). EBS io2→gp3. SAP NetWeaver certified on AMD.</t>
  </si>
  <si>
    <t>Disk: 86.54%</t>
  </si>
  <si>
    <t>SAP Solution Manager 7.2. AMD R6a.2xlarge (8/64). HANA no longer required — SolMan on AnyDB. SAP NetWeaver certified on AMD.</t>
  </si>
  <si>
    <t>Windows 2012→2019</t>
  </si>
  <si>
    <t>Disk: 84.76%</t>
  </si>
  <si>
    <t>SAP GST Development Sandbox. AMD M6a certified for SAP NetWeaver. Windows Server 2012 EOL — upgrade during migration.</t>
  </si>
  <si>
    <t>Disk: 80.25%</t>
  </si>
  <si>
    <t>BI/MIS UAT environment. T3 Intel burstable for non-production workload.</t>
  </si>
  <si>
    <t>ManageEngine IT Management. Non-production burstable. Evaluate replacement with CloudWatch post-migration.</t>
  </si>
  <si>
    <t>Nopal Cyber Security vCISO platform. AMD M6a.2xlarge (8 vCPU / 32 GB). Production security workload.</t>
  </si>
  <si>
    <t>Syslog Server. T3 Intel for consistent log ingestion performance.</t>
  </si>
  <si>
    <t>HIS UAT for Arcus Air (new HIS). R6a AMD provides 64 GB RAM to match source 48 GB allocation with headroom.</t>
  </si>
  <si>
    <t>IVF Clinical Application. AMD M6a.2xlarge (8 vCPU / 32 GB). Production-critical.</t>
  </si>
  <si>
    <t>Disk: 80.74%</t>
  </si>
  <si>
    <t>SAP ECC Development (was HANA Dev). AMD M6a.2xlarge (8/32). Downsized — ECC dev doesn't need 64 GB. Non-production OD 8hr/day.</t>
  </si>
  <si>
    <t>SAP ECC QA/Staging (was HANA QAS). AMD R6a.4xlarge (16/128). EBS io2→gp3. Non-production OD 8hr/day.</t>
  </si>
  <si>
    <t>Ubuntu Pro 24.04</t>
  </si>
  <si>
    <t>Disk: 79.56%</t>
  </si>
  <si>
    <t>Mobile App + Rainbow Shield. AMD M6a.4xlarge (16 vCPU / 64 GB). Evaluate Graviton post-migration.</t>
  </si>
  <si>
    <t>Production Servers Total (CSP 3yr)</t>
  </si>
  <si>
    <t>Non-Prod Servers Total (OD best option)</t>
  </si>
  <si>
    <t>TOTAL — Primary Region (Hyderabad)</t>
  </si>
  <si>
    <t>DR Region: Mumbai (ap-south-1) — Active-Passive Multi-Region DR</t>
  </si>
  <si>
    <t>DR Mode</t>
  </si>
  <si>
    <t>DR Justification</t>
  </si>
  <si>
    <t>RAINDC03 (DR)</t>
  </si>
  <si>
    <t>Active-Passive</t>
  </si>
  <si>
    <t>AD Domain Controller DR. Pilot-light (m6i.large) for authentication services. AD multi-site replication.</t>
  </si>
  <si>
    <t>Rchbbserver (DR)</t>
  </si>
  <si>
    <t>Blood Bank DR. AMD M6a.2xlarge pilot-light (8 vCPU vs 16 vCPU prod). SQL Always-On async replication.</t>
  </si>
  <si>
    <t>RCHAEON (DR)</t>
  </si>
  <si>
    <t>Biometric DR. AMD R6a.2xlarge pilot-light (64 GB vs 128 GB prod). SQL Always-On replication.</t>
  </si>
  <si>
    <t>Rainbow_MRD (DR)</t>
  </si>
  <si>
    <t>MRD DR. AMD C6a.8xlarge full-size replica for 21 TB data replication.</t>
  </si>
  <si>
    <t>SAP_PI_PRD (DR)</t>
  </si>
  <si>
    <t>SAP PI/PO DR. AMD M6a.2xlarge pilot-light (8 vCPU vs 16 vCPU prod). Queue replication.</t>
  </si>
  <si>
    <t>repsapGRP (DR)</t>
  </si>
  <si>
    <t>SAP ECC DR Node A. AMD R6a.2xlarge. EBS io2→gp3. Async replication to Mumbai.</t>
  </si>
  <si>
    <t>repsapAPP (DR)</t>
  </si>
  <si>
    <t>SAP ECC DR Node B. AMD R6a.2xlarge. EBS io2→gp3. Symmetric to Node A.</t>
  </si>
  <si>
    <t>RCHSOLMAN72 (DR)</t>
  </si>
  <si>
    <t>SAP SolMan DR. AMD R6a.xlarge pilot-light (32 GB vs 64 GB prod). Standby.</t>
  </si>
  <si>
    <t>RAINBOW80992 (DR)</t>
  </si>
  <si>
    <t>IVF Clinical DR. AMD M6a.large pilot-light (2 vCPU vs 8 vCPU prod). Scale-up on failover.</t>
  </si>
  <si>
    <t>mobileapp (DR)</t>
  </si>
  <si>
    <t>Mobile App DR. AMD M6a.2xlarge pilot-light. Ubuntu matching primary OS.</t>
  </si>
  <si>
    <t>ℹ️ Mumbai has full instance catalogue. All instances used here are available. 10 critical servers in pilot-light mode.</t>
  </si>
  <si>
    <t>TOTAL DR — Mumbai (Active-Passive)</t>
  </si>
  <si>
    <t>Supporting Services — Hyderabad (Primary) + Mumbai (DR) | Availability Validated</t>
  </si>
  <si>
    <t>Service</t>
  </si>
  <si>
    <t>Configuration</t>
  </si>
  <si>
    <t>HYD/Mumbai Avail</t>
  </si>
  <si>
    <t>Monthly $</t>
  </si>
  <si>
    <t>Data Transfer (Intra + Inbound)</t>
  </si>
  <si>
    <t>1.5 TB intra-region/mo</t>
  </si>
  <si>
    <t>✅ Available</t>
  </si>
  <si>
    <t>Within HYD region.</t>
  </si>
  <si>
    <t>Data Transfer - Egress</t>
  </si>
  <si>
    <t>2.5 TB out/mo to internet</t>
  </si>
  <si>
    <t>Internet-bound traffic.</t>
  </si>
  <si>
    <t>VPC + NAT Gateway</t>
  </si>
  <si>
    <t>VPN + NAT Gateway (PDF-aligned)</t>
  </si>
  <si>
    <t>HA NAT. VPN to customer DC.</t>
  </si>
  <si>
    <t>AWS Inspector</t>
  </si>
  <si>
    <t>Vulnerability scanning 24 EC2 instances</t>
  </si>
  <si>
    <t>Replaces EDR. Native AWS.</t>
  </si>
  <si>
    <t>Flow logs + EBS scan + CloudTrail</t>
  </si>
  <si>
    <t>Threat detection.</t>
  </si>
  <si>
    <t>AWS Config</t>
  </si>
  <si>
    <t>Continuous config monitoring</t>
  </si>
  <si>
    <t>Compliance + audit.</t>
  </si>
  <si>
    <t>AWS Security Hub</t>
  </si>
  <si>
    <t>CSPM + findings aggregation</t>
  </si>
  <si>
    <t>Central security dashboard.</t>
  </si>
  <si>
    <t>Management + data events</t>
  </si>
  <si>
    <t>Audit logging.</t>
  </si>
  <si>
    <t>1 Web ACL + 5 rules</t>
  </si>
  <si>
    <t>IVF + Mobile App + HIS UAT.</t>
  </si>
  <si>
    <t>150 metrics + 40GB logs</t>
  </si>
  <si>
    <t>Monitoring.</t>
  </si>
  <si>
    <t>AWS Backup</t>
  </si>
  <si>
    <t>5 TB, 365-day retention</t>
  </si>
  <si>
    <t>Replaces CommVault.</t>
  </si>
  <si>
    <t>ELB (3x ALB)</t>
  </si>
  <si>
    <t>3 Application Load Balancers</t>
  </si>
  <si>
    <t>Public-facing apps.</t>
  </si>
  <si>
    <t>S3 Standard (2 TB)</t>
  </si>
  <si>
    <t>Logs, backups, archival</t>
  </si>
  <si>
    <t>Object storage.</t>
  </si>
  <si>
    <t>S3 Intelligent Tiering</t>
  </si>
  <si>
    <t>10 TB MRD cold data</t>
  </si>
  <si>
    <t>MRD archival (Phase 2).</t>
  </si>
  <si>
    <t>Systems Manager</t>
  </si>
  <si>
    <t>Patch Manager + Run Command</t>
  </si>
  <si>
    <t>Free tier.</t>
  </si>
  <si>
    <t>5 CMKs + 200K requests</t>
  </si>
  <si>
    <t>Encryption.</t>
  </si>
  <si>
    <t>Hosted zones + failover health checks</t>
  </si>
  <si>
    <t>✅ Global</t>
  </si>
  <si>
    <t>DNS failover.</t>
  </si>
  <si>
    <t>AWS DRS (Cross-Region)</t>
  </si>
  <si>
    <t>10 critical servers replication</t>
  </si>
  <si>
    <t>DRS from HYD.</t>
  </si>
  <si>
    <t>Data Transfer (Inter-Region)</t>
  </si>
  <si>
    <t>HYD↔Mumbai</t>
  </si>
  <si>
    <t>2 TB/mo cross-region replication (PDF-aligned)</t>
  </si>
  <si>
    <t>~$0.020/GB.</t>
  </si>
  <si>
    <t>VPC + NAT Gateway (DR)</t>
  </si>
  <si>
    <t>VPN + NAT Gateway DR region (PDF-aligned)</t>
  </si>
  <si>
    <t>DR networking.</t>
  </si>
  <si>
    <t>AWS Inspector (DR)</t>
  </si>
  <si>
    <t>DR instance scanning</t>
  </si>
  <si>
    <t>Native security.</t>
  </si>
  <si>
    <t>AWS Backup (DR)</t>
  </si>
  <si>
    <t>Cross-region backup copy</t>
  </si>
  <si>
    <t>DR retention.</t>
  </si>
  <si>
    <t>S3 (DR Cross-Region Replica)</t>
  </si>
  <si>
    <t>2 TB CRR storage</t>
  </si>
  <si>
    <t>S3 Standard 2TB CRR replica from HYD (PDF-validated 30-Apr-2026)</t>
  </si>
  <si>
    <t>CloudWatch (DR)</t>
  </si>
  <si>
    <t>DR monitoring</t>
  </si>
  <si>
    <t>DR observability.</t>
  </si>
  <si>
    <t>ELB (DR)</t>
  </si>
  <si>
    <t>1 ALB for DR failover</t>
  </si>
  <si>
    <t>DR ALB.</t>
  </si>
  <si>
    <t>GuardDuty (DR)</t>
  </si>
  <si>
    <t>DR threat detection</t>
  </si>
  <si>
    <t>DR security.</t>
  </si>
  <si>
    <t>TOTAL Supporting Services</t>
  </si>
  <si>
    <t>NAT GW in 2 AZs + S2S VPN</t>
  </si>
  <si>
    <t>5 TB primary, 365-day warm retention (customer requirement)</t>
  </si>
  <si>
    <t>365-day retention per customer. Est: 5TB primary + 365 days incremental. ⚠️ Validate in AWS Calculator.</t>
  </si>
  <si>
    <t>3 TB/mo cross-region replication</t>
  </si>
  <si>
    <t>NAT GW + VPN DR region</t>
  </si>
  <si>
    <t>Cross-region backup copy, 365-day retention</t>
  </si>
  <si>
    <t>DR cross-region copy 365-day. ⚠️ Validate in AWS Calculator.</t>
  </si>
  <si>
    <t>AWS Marketplace Offerings — Palo Alto + MongoDB (HYD + Mumbai Validated)</t>
  </si>
  <si>
    <t>Product</t>
  </si>
  <si>
    <t>Availability</t>
  </si>
  <si>
    <t>Palo Alto VM-Series (EC2)</t>
  </si>
  <si>
    <t>2x c6i.xlarge HA pair</t>
  </si>
  <si>
    <t>VM-Series EC2 compute. 2x c6i.xlarge HA pair. CSP 3yr pricing.</t>
  </si>
  <si>
    <t>Palo Alto VM-Series (EBS)</t>
  </si>
  <si>
    <t>2x 100 GB gp3</t>
  </si>
  <si>
    <t>OS + logs storage.</t>
  </si>
  <si>
    <t>Gateway Load Balancer</t>
  </si>
  <si>
    <t>GWLB for Palo Alto HA</t>
  </si>
  <si>
    <t>Traffic routing.</t>
  </si>
  <si>
    <t>Palo Alto PAYG 365-day License</t>
  </si>
  <si>
    <t>2x c6i.xlarge — PAYG 365-day (71% savings)</t>
  </si>
  <si>
    <t>✅ Marketplace</t>
  </si>
  <si>
    <t>PAYG $1.71/hr → 365-day: $0.4959/hr × 730hr = $362/mo × 2 instances. Includes Adv Threat Prevention, URL Filtering, WildFire, DNS Security, GlobalProtect + 24x7 Premium Support. Source: aws.amazon.com/marketplace/pp/prodview-3xtziatyes54i</t>
  </si>
  <si>
    <t>Palo Alto DR (EC2)</t>
  </si>
  <si>
    <t>2x c6i.xlarge passive standby</t>
  </si>
  <si>
    <t>DR pair. Instances stopped until failover. EC2 compute only.</t>
  </si>
  <si>
    <t>Palo Alto DR (EBS)</t>
  </si>
  <si>
    <t>DR EBS (provisioned).</t>
  </si>
  <si>
    <t>Gateway Load Balancer (DR)</t>
  </si>
  <si>
    <t>Standby GWLB.</t>
  </si>
  <si>
    <t>Palo Alto PAYG 365-day (DR)</t>
  </si>
  <si>
    <t>2x c6i.xlarge — PAYG 365-day (DR pair)</t>
  </si>
  <si>
    <t>DR pair: Same 365-day rate. License commits to annual contract regardless of instance state. Same security subs included.</t>
  </si>
  <si>
    <t>MongoDB Atlas HMIS Cluster 1</t>
  </si>
  <si>
    <t>Hyderabad (Atlas)</t>
  </si>
  <si>
    <t>M40 - 16 GB / 750 GB</t>
  </si>
  <si>
    <t>✅ Since Mar 2025</t>
  </si>
  <si>
    <t>Primary HMS MongoDB cluster. Marketplace.</t>
  </si>
  <si>
    <t>MongoDB Atlas HMIS Cluster 2</t>
  </si>
  <si>
    <t>M50 - 32 GB / 1,596 GB</t>
  </si>
  <si>
    <t>Secondary HMS. Marketplace.</t>
  </si>
  <si>
    <t>MongoDB Atlas App/SAP Cluster</t>
  </si>
  <si>
    <t>M30 - 8 GB / 200 GB</t>
  </si>
  <si>
    <t>SAP-Atlas dependency.</t>
  </si>
  <si>
    <t>MongoDB Atlas Multi-Region DR</t>
  </si>
  <si>
    <t>Mumbai (Atlas)</t>
  </si>
  <si>
    <t>Cross-region replica premium</t>
  </si>
  <si>
    <t>30-40% premium. Auto failover.</t>
  </si>
  <si>
    <t>Latespot CRM (placeholder)</t>
  </si>
  <si>
    <t>Marketplace Private Offer TBC</t>
  </si>
  <si>
    <t>Vendor details pending Chari.</t>
  </si>
  <si>
    <t>HMS Vendor BOQ (placeholder)</t>
  </si>
  <si>
    <t>IQVIA/Care Expert/MyHealthcare</t>
  </si>
  <si>
    <t>Pending Srini/Chari decision.</t>
  </si>
  <si>
    <t>TOTAL Marketplace Offerings</t>
  </si>
  <si>
    <t>🛒 Marketplace Availability Verification (24-Apr-2026)</t>
  </si>
  <si>
    <t>• Palo Alto VM-Series: ✅ Available globally via AWS Marketplace (HYD + Mumbai)</t>
  </si>
  <si>
    <t>• MongoDB Atlas: ✅ Hyderabad since March 2025, Mumbai long-standing</t>
  </si>
  <si>
    <t>• Both counts toward MAP/PPA qualification via AWS Marketplace spend</t>
  </si>
  <si>
    <t>⚠️ Action items:</t>
  </si>
  <si>
    <t>1. Palo Alto: 365-day PAYG contract selected — no BYOL. Confirm annual commitment with AWS.</t>
  </si>
  <si>
    <t>2. Confirm MongoDB single-region vs multi-region DR with Chari</t>
  </si>
  <si>
    <t>3. Latespot CRM details pending Chari</t>
  </si>
  <si>
    <t>4. HMS Vendor BOQ pending Srini/Chari decision</t>
  </si>
  <si>
    <t>https://www.mongodb.com/products/platform/atlas-cloud-providers/aws/pricing</t>
  </si>
  <si>
    <t>https://www.mongodb.com/docs/atlas/reference/amazon-aws/#std-label-amazon-aws</t>
  </si>
  <si>
    <t>https://aws.amazon.com/marketplace/pp/prodview-3xtziatyes54i?sr=0-2&amp;ref_=beagle&amp;applicationId=AWSMPContessa</t>
  </si>
  <si>
    <t>Requirements from Customer - 24th april 2026 (Minfy send email)</t>
  </si>
  <si>
    <t>PACS Infra details with Active Directory details</t>
  </si>
  <si>
    <t>SAP Rise - Internal Check (Infra - Gopal, Functional - AWS)</t>
  </si>
  <si>
    <t>CRM - SaaS details</t>
  </si>
  <si>
    <t>HMS Vendor BOQ post discussion with vendor</t>
  </si>
  <si>
    <t>Palo Alto License</t>
  </si>
  <si>
    <t>HMS ARM Based architecture</t>
  </si>
  <si>
    <t>Static page hosting with S3 + Cloudfront</t>
  </si>
  <si>
    <t>CPU / RAM Utilization</t>
  </si>
  <si>
    <t>Application Depedency (Server Depedent)</t>
  </si>
  <si>
    <t>https://www.mongodb.com/pricing/calculator/estimate/69eca2abcf761e821c9acfed/cluster-configuration/69eca36bcf761e821c9acff7?name=Cluster+4&amp;isAdvancedConfigExpanded=false&amp;isBackupNetworkExpanded=false&amp;isPrimaryConfigExpanded=true&amp;region=AP_SOUTH_1&amp;diskSizeGb=100</t>
  </si>
  <si>
    <t>KareXpert — AWS BOM Detail | 2,500 Beds | Primary: Hyderabad (EKS/Kubernetes)</t>
  </si>
  <si>
    <t>Containerised microservices on EKS (Kubernetes). 24 Graviton worker nodes. All Linux — available in ap-south-2.</t>
  </si>
  <si>
    <t>#</t>
  </si>
  <si>
    <t>Component</t>
  </si>
  <si>
    <t>Instance/Config</t>
  </si>
  <si>
    <t>Qty</t>
  </si>
  <si>
    <t>EC2 OD $/mo ea</t>
  </si>
  <si>
    <t>EC2 CSP 3yr ea</t>
  </si>
  <si>
    <t>EKS Cluster Control Plane</t>
  </si>
  <si>
    <t>EKS Standard</t>
  </si>
  <si>
    <t>Managed K8s control plane. $0.10/hr = $73/mo fixed.</t>
  </si>
  <si>
    <t>EKS Workers — Core Apps</t>
  </si>
  <si>
    <t>r6g.xlarge</t>
  </si>
  <si>
    <t>Core application + low-profile microservices. 100 GB EBS each.</t>
  </si>
  <si>
    <t>EKS Workers — High-Profile</t>
  </si>
  <si>
    <t>r6g.2xlarge</t>
  </si>
  <si>
    <t>Heavy microservices (billing, EMR, analytics). 200 GB EBS each.</t>
  </si>
  <si>
    <t>EBS for PVCs</t>
  </si>
  <si>
    <t>gp3 3 TB</t>
  </si>
  <si>
    <t>Persistent Volume Claims for stateful services.</t>
  </si>
  <si>
    <t>Jump Server (Bastion)</t>
  </si>
  <si>
    <t>Secure SSH access. 20 GB SSD. Took t3.medium as t2.medium is not available in ap-south2</t>
  </si>
  <si>
    <t>Additional AWS Services (from KareXpert BOM)</t>
  </si>
  <si>
    <t>Description</t>
  </si>
  <si>
    <t>Est $/mo</t>
  </si>
  <si>
    <t>S3 Object Storage</t>
  </si>
  <si>
    <t>10 TB Standard for backups, logs, files</t>
  </si>
  <si>
    <t>S3 Standard 10 TB.</t>
  </si>
  <si>
    <t>MongoDB Atlas M60</t>
  </si>
  <si>
    <t>3-node replica (16 vCPU/64 GB/1 TB per node)</t>
  </si>
  <si>
    <t>M60 tier via Marketplace. ⚠️ Check if replaces existing Atlas clusters or additional.</t>
  </si>
  <si>
    <t>3M requests/mo, 3 rules</t>
  </si>
  <si>
    <t>Already in shared services — may be $0 incremental.</t>
  </si>
  <si>
    <t>ALB</t>
  </si>
  <si>
    <t>Application Load Balancer</t>
  </si>
  <si>
    <t>1 ALB for EKS ingress.</t>
  </si>
  <si>
    <t>DNS</t>
  </si>
  <si>
    <t>AWS Certificate Manager</t>
  </si>
  <si>
    <t>Wildcard SSL</t>
  </si>
  <si>
    <t>Free for ACM public certs.</t>
  </si>
  <si>
    <t>EC2 scanning</t>
  </si>
  <si>
    <t>Already in shared Supporting Services.</t>
  </si>
  <si>
    <t>AWS ECR</t>
  </si>
  <si>
    <t>Container image registry</t>
  </si>
  <si>
    <t>~150 GB images × $0.10/GB.</t>
  </si>
  <si>
    <t>Security Services</t>
  </si>
  <si>
    <t>SecurityHub+GuardDuty+KMS+Config+CloudWatch+SES</t>
  </si>
  <si>
    <t>⚠️ OVERLAP — already in shared Supporting Services. $0 incremental.</t>
  </si>
  <si>
    <t>EKS + EC2 Compute (1 cluster + 24 workers + bastion, CSP 3yr)</t>
  </si>
  <si>
    <t>Additional AWS Services</t>
  </si>
  <si>
    <t>TOTAL KareXpert HIS Monthly Cost</t>
  </si>
  <si>
    <t>⚠️ IMPORTANT NOTES</t>
  </si>
  <si>
    <t>1. All EC2 rates are ESTIMATES for ap-south-2 Graviton instances. Validate in AWS Pricing Calculator.</t>
  </si>
  <si>
    <t>2. MongoDB Atlas M60 ($1,800/mo) — check if this REPLACES existing 3 Atlas clusters ($2,450) or is ADDITIONAL.</t>
  </si>
  <si>
    <t xml:space="preserve">   If replacement: net saving of $650/mo. If additional: +$1,800/mo.</t>
  </si>
  <si>
    <t>3. Security/monitoring services already in shared Supporting Services — $0 incremental.</t>
  </si>
  <si>
    <t>4. Total vCPU: 122 = 122 | Total RAM: 964 = 964 GB | 25 instances (1 EKS + 24 workers + 1 bastion)</t>
  </si>
  <si>
    <t>5. EKS cluster fee ($73/mo) is NOT covered by Savings Plans — always full price.</t>
  </si>
  <si>
    <t>MyHealthcare (MHEA) — AWS BOM Detail | 1,000 CCU | Primary: Hyderabad</t>
  </si>
  <si>
    <t>Microservices on EC2 VMs (214 Graviton instances). All instances Linux/Graviton — available in ap-south-2.</t>
  </si>
  <si>
    <t>Instance Type</t>
  </si>
  <si>
    <t>Compute Type 1</t>
  </si>
  <si>
    <t>c6g.large</t>
  </si>
  <si>
    <t>Stateless app microservices. Compute-optimised Graviton.</t>
  </si>
  <si>
    <t>Compute Type 2</t>
  </si>
  <si>
    <t>m6g.large</t>
  </si>
  <si>
    <t>General-purpose microservices.</t>
  </si>
  <si>
    <t>Compute Type 3</t>
  </si>
  <si>
    <t>c6g.xlarge</t>
  </si>
  <si>
    <t>Mid-tier compute microservices.</t>
  </si>
  <si>
    <t>Compute Type 4</t>
  </si>
  <si>
    <t>m6g.xlarge</t>
  </si>
  <si>
    <t>Memory-balanced microservices.</t>
  </si>
  <si>
    <t>Compute Type 5</t>
  </si>
  <si>
    <t>m6g.2xlarge</t>
  </si>
  <si>
    <t>Heavy workload services (reports, analytics).</t>
  </si>
  <si>
    <t>Additional AWS Services (from MyHealthcare BOM)</t>
  </si>
  <si>
    <t>S3 Storage</t>
  </si>
  <si>
    <t>Standard 20GB + Glacier Deep Archive 20GB</t>
  </si>
  <si>
    <t>Minimal storage — app data.</t>
  </si>
  <si>
    <t>CloudFront</t>
  </si>
  <si>
    <t>CDN for patient-facing app</t>
  </si>
  <si>
    <t>Estimate based on 500 GB/mo transfer.</t>
  </si>
  <si>
    <t>API Gateway</t>
  </si>
  <si>
    <t>REST API management</t>
  </si>
  <si>
    <t>Estimate based on 10M requests/mo.</t>
  </si>
  <si>
    <t>Monitoring for 214 instances</t>
  </si>
  <si>
    <t>Already in shared services — may overlap.</t>
  </si>
  <si>
    <t>Cognito</t>
  </si>
  <si>
    <t>User authentication (1000 CCU)</t>
  </si>
  <si>
    <t>1000 MAU × $0.0055 + 50K auth events.</t>
  </si>
  <si>
    <t>Lambda</t>
  </si>
  <si>
    <t>Serverless functions</t>
  </si>
  <si>
    <t>Event-driven processing.</t>
  </si>
  <si>
    <t>SES</t>
  </si>
  <si>
    <t>Email notifications</t>
  </si>
  <si>
    <t>Transactional emails.</t>
  </si>
  <si>
    <t>SNS</t>
  </si>
  <si>
    <t>Push notifications</t>
  </si>
  <si>
    <t>Mobile push + SMS.</t>
  </si>
  <si>
    <t>1 ALB for HIS traffic. ⚠️ Check if shared ALBs cover this.</t>
  </si>
  <si>
    <t>VPC (2 S2S VPN + 5 IPv4)</t>
  </si>
  <si>
    <t>Network + 5 public IPs</t>
  </si>
  <si>
    <t>VPN to branches. 5 EIPs × $3.60 + VPN.</t>
  </si>
  <si>
    <t>Network Firewall</t>
  </si>
  <si>
    <t>AWS Network Firewall</t>
  </si>
  <si>
    <t>⚠️ If Palo Alto covers this, remove.</t>
  </si>
  <si>
    <t>Detective+Inspector+SecurityLake+SecurityHub+GuardDuty+WAF+Audit+Config+CloudTrail+IAM+KMS</t>
  </si>
  <si>
    <t>X-Ray</t>
  </si>
  <si>
    <t>Distributed tracing</t>
  </si>
  <si>
    <t>Trace analysis for microservices.</t>
  </si>
  <si>
    <t>Data Transfer</t>
  </si>
  <si>
    <t>Intra-Region 2 TB/mo</t>
  </si>
  <si>
    <t>Within Hyderabad region.</t>
  </si>
  <si>
    <t>EC2 Compute (214 instances, CSP 3yr)</t>
  </si>
  <si>
    <t>TOTAL MyHealthcare HIS Monthly Cost</t>
  </si>
  <si>
    <t>2. Security services (GuardDuty, Inspector, SecurityHub, WAF, Config, CloudTrail, KMS) = $0 incremental</t>
  </si>
  <si>
    <t xml:space="preserve">   because they are already in the shared Supporting Services sheet.</t>
  </si>
  <si>
    <t>3. If Palo Alto covers Network Firewall functionality, remove the $175/mo line.</t>
  </si>
  <si>
    <t>4. CloudWatch monitoring may overlap with shared services — validate.</t>
  </si>
  <si>
    <t>5. Total vCPU: 644 | Total RAM: 1800 GB | 214 instances</t>
  </si>
  <si>
    <t>DR Comparison: Active-Passive vs Active-Active (Chari Requested Both)</t>
  </si>
  <si>
    <t>DR Attribute</t>
  </si>
  <si>
    <t>Active-Passive (Current Quote)</t>
  </si>
  <si>
    <t>Active-Active (Optional)</t>
  </si>
  <si>
    <t>Difference</t>
  </si>
  <si>
    <t>DR Instance Sizing</t>
  </si>
  <si>
    <t>Pilot-light (smaller)</t>
  </si>
  <si>
    <t>Full size (match prod)</t>
  </si>
  <si>
    <t>+70% compute</t>
  </si>
  <si>
    <t>RPO (Recovery Point Objective)</t>
  </si>
  <si>
    <t>&lt; 1 hour</t>
  </si>
  <si>
    <t>Near-zero</t>
  </si>
  <si>
    <t>RTO (Recovery Time Objective)</t>
  </si>
  <si>
    <t>30-60 minutes</t>
  </si>
  <si>
    <t>&lt; 5 minutes</t>
  </si>
  <si>
    <t>Traffic Distribution</t>
  </si>
  <si>
    <t>Mumbai on failover only</t>
  </si>
  <si>
    <t>Both regions serve</t>
  </si>
  <si>
    <t>+100% compute</t>
  </si>
  <si>
    <t>Replication Mode</t>
  </si>
  <si>
    <t>Continuous async</t>
  </si>
  <si>
    <t>Synchronous critical DBs</t>
  </si>
  <si>
    <t>Monthly DR Cost (EC2 + Supporting)</t>
  </si>
  <si>
    <t>Annual DR Cost (EC2 + Supporting)</t>
  </si>
  <si>
    <t>~$60/mo</t>
  </si>
  <si>
    <t>~$200/mo</t>
  </si>
  <si>
    <t>+$140/mo</t>
  </si>
  <si>
    <t>Operational Complexity</t>
  </si>
  <si>
    <t>Simpler</t>
  </si>
  <si>
    <t>Complex</t>
  </si>
  <si>
    <t>Higher overhead</t>
  </si>
  <si>
    <t>Best Fit For</t>
  </si>
  <si>
    <t>30-min RTO tolerance</t>
  </si>
  <si>
    <t>Zero-downtime critical</t>
  </si>
  <si>
    <t>Active-Active DR Costing — Full Size Instances (Mumbai)</t>
  </si>
  <si>
    <t>Server</t>
  </si>
  <si>
    <t>Instance (Full Size)</t>
  </si>
  <si>
    <t>TOTAL Active-Active DR (Full Size, CSP 3yr)</t>
  </si>
  <si>
    <t>Active-Active Supporting Services — Mumbai (Full Active Region)</t>
  </si>
  <si>
    <t>Smaller instances, scale-up on failover</t>
  </si>
  <si>
    <t>Data Transfer Egress (Mumbai)</t>
  </si>
  <si>
    <t>Active region serving internet traffic — combined intra+inbound+egress matches HYD active-region (PDF: $303.25)</t>
  </si>
  <si>
    <t>Full production-size, always running</t>
  </si>
  <si>
    <t>Data Transfer Inter-Region</t>
  </si>
  <si>
    <t>Bi-directional HYD↔Mumbai — set to AP-validated value as floor; actual AA cost may exceed this</t>
  </si>
  <si>
    <t>Additional cost for Active-Active</t>
  </si>
  <si>
    <t>VPC + NAT Gateway (Mumbai)</t>
  </si>
  <si>
    <t>Full HA NAT for active traffic (PDF-validated HYD: VPN + NAT Gateway $329.83)</t>
  </si>
  <si>
    <t>AWS Inspector (Mumbai)</t>
  </si>
  <si>
    <t>Full scanning (PDF price)</t>
  </si>
  <si>
    <t>GuardDuty (Mumbai)</t>
  </si>
  <si>
    <t>Full threat detection (PDF price)</t>
  </si>
  <si>
    <t>AWS Config (Mumbai)</t>
  </si>
  <si>
    <t>Compliance monitoring</t>
  </si>
  <si>
    <t>Security Hub (Mumbai)</t>
  </si>
  <si>
    <t>CSPM for active region (PDF-validated HYD: $85.01)</t>
  </si>
  <si>
    <t>CloudTrail (Mumbai)</t>
  </si>
  <si>
    <t>Audit logging</t>
  </si>
  <si>
    <t>WAF (Mumbai)</t>
  </si>
  <si>
    <t>Web protection for active traffic</t>
  </si>
  <si>
    <t>CloudWatch (Mumbai)</t>
  </si>
  <si>
    <t>Full monitoring (PDF price)</t>
  </si>
  <si>
    <t>AWS Backup (Mumbai)</t>
  </si>
  <si>
    <t>Full primary backup (matches HYD per PDF: $391.78). AP Mumbai DR backup is lower at $295.62 because it is CRR copy only.</t>
  </si>
  <si>
    <t>ELB 3x ALB (Mumbai)</t>
  </si>
  <si>
    <t>Full load balancing (PDF price)</t>
  </si>
  <si>
    <t>S3 2TB (Mumbai)</t>
  </si>
  <si>
    <t>Logs and storage (PDF price)</t>
  </si>
  <si>
    <t>KMS (Mumbai)</t>
  </si>
  <si>
    <t>Encryption (PDF price)</t>
  </si>
  <si>
    <t>TOTAL Active-Active Supporting (Mumbai)</t>
  </si>
  <si>
    <t>Complete DR Cost Comparison (EC2 + Supporting Services)</t>
  </si>
  <si>
    <t>Active-Active</t>
  </si>
  <si>
    <t>DR EC2 Instances</t>
  </si>
  <si>
    <t>DR Supporting Services</t>
  </si>
  <si>
    <t>TOTAL DR Cost</t>
  </si>
  <si>
    <t>Recommendation</t>
  </si>
  <si>
    <t>Active-Passive (Recommended): Lower cost, simpler ops. 30-60 min RTO. DR instances are pilot-light (smaller), scale up on failover. DRS handles replication.</t>
  </si>
  <si>
    <t>Active-Active: Full production-size instances in both regions. &lt; 5 min RTO. Higher cost but near-zero downtime. No DRS needed (both regions active).</t>
  </si>
  <si>
    <t>Hybrid option: Active-Active for clinical-critical (HIS, Biometric, Blood Bank) + Active-Passive for non-critical. Balance cost vs RTO requirements.</t>
  </si>
  <si>
    <t>ℹ️ All prices aligned with AWS Pricing Calculator export (24-Apr-2026). AP = DR TCO sheet + DR supporting services. AA = full prod-size in Mumbai.</t>
  </si>
  <si>
    <t>Existing AWS HMS Workloads — Phase 2 Migration to Hyderabad</t>
  </si>
  <si>
    <t>Resource</t>
  </si>
  <si>
    <t>AAHISRPTSERV02-Prod-rep</t>
  </si>
  <si>
    <t>Linux</t>
  </si>
  <si>
    <t>HMS Report Server 2. m6a.2xlarge Linux CSP 3yr NU. [Source: AWS Calculator ap-south-2, 250GB EBS]</t>
  </si>
  <si>
    <t>AAINTFACESERV02-Prod</t>
  </si>
  <si>
    <t>Interface Server 2. m6a.2xlarge Linux CSP 3yr NU. [Source: AWS Calculator ap-south-2, 200GB EBS]</t>
  </si>
  <si>
    <t>AAHISAPPSERV02-Prod</t>
  </si>
  <si>
    <t>HMS App Server 2. m6a.2xlarge Linux CSP 3yr NU. [Source: AWS Calculator ap-south-2, 200GB EBS]</t>
  </si>
  <si>
    <t>AAHISAPPSERV03-Prod</t>
  </si>
  <si>
    <t>HMS App Server 3. m6a.2xlarge Linux CSP 3yr NU. [Source: AWS Calculator ap-south-2, 200GB EBS]</t>
  </si>
  <si>
    <t>Mirth DR Server. m6a.large Linux CSP 3yr NU. [Source: AWS Calculator ap-south-2, 1TB EBS]</t>
  </si>
  <si>
    <t>AAINTFACESERV01-Prod</t>
  </si>
  <si>
    <t>Interface Server 1. m6a.2xlarge Linux CSP 3yr NU. [Source: AWS Calculator ap-south-2, 200GB EBS]</t>
  </si>
  <si>
    <t>AAHISAPPSERV01-Prod</t>
  </si>
  <si>
    <t>HMS App Server 1. m6a.2xlarge Linux CSP 3yr NU. [Source: AWS Calculator ap-south-2, 200GB EBS]</t>
  </si>
  <si>
    <t>AAHISRPTSERV01-Prod-rep</t>
  </si>
  <si>
    <t>HMS Report Server 1. m6a.2xlarge Linux CSP 3yr NU. [Source: AWS Calculator ap-south-2, 200GB EBS]</t>
  </si>
  <si>
    <t>MIRTHDBSERV01-Prod-1</t>
  </si>
  <si>
    <t>Mirth Primary - CRITICAL HL7 broker. m6a.2xlarge Linux CSP 3yr NU. [Source: AWS Calculator ap-south-2, 1TB EBS]</t>
  </si>
  <si>
    <t>t3.small (fixed)</t>
  </si>
  <si>
    <t>DEPLOYSERV01 t3.small OD 8hr/day, 180 GB. [Source: AWS Calculator 30-Apr-2026]</t>
  </si>
  <si>
    <t>Grafana Monitoring</t>
  </si>
  <si>
    <t>Grafana c6a.large CSP 3yr No Upfront, 500 GB. [Source: AWS Calculator 30-Apr-2026]</t>
  </si>
  <si>
    <t>newserver-26-08-2025</t>
  </si>
  <si>
    <t>t3.xlarge (fixed)</t>
  </si>
  <si>
    <t>Unknown server — confirm purpose with Chari. t3.xlarge Win OD 8hr/day. [Estimated: needs validation]</t>
  </si>
  <si>
    <t>Unknown replica. t3.xlarge Win OD 8hr/day. [Estimated: needs validation in AWS Calculator]</t>
  </si>
  <si>
    <t>Analytics Cluster</t>
  </si>
  <si>
    <t>Redshift Analytics. 2x dc2.large OnDemand. [Source: AWS Calculator ap-south-2]</t>
  </si>
  <si>
    <t>S3</t>
  </si>
  <si>
    <t>HMS Storage</t>
  </si>
  <si>
    <t>8 TB</t>
  </si>
  <si>
    <t>S3 Primary Storage 8TB. [Source: AWS Calculator ap-south-2 Hyderabad]</t>
  </si>
  <si>
    <t>rainbow-database</t>
  </si>
  <si>
    <t>db.t4g.small, 60GB</t>
  </si>
  <si>
    <t>RDS MySQL db.t4g.small 60GB gp2. [Source: AWS Calculator ap-south-2]</t>
  </si>
  <si>
    <t>ELB</t>
  </si>
  <si>
    <t>ALB + NLB</t>
  </si>
  <si>
    <t>1 ALB + 1 NLB</t>
  </si>
  <si>
    <t>ELB 1 ALB + 1 NLB. [Source: AWS Calculator ap-south-2 Hyderabad]</t>
  </si>
  <si>
    <t>AWS Glue</t>
  </si>
  <si>
    <t>AWS Glue ETL 2 DPUs. [Source: AWS Calculator ap-south-2]</t>
  </si>
  <si>
    <t>VPC</t>
  </si>
  <si>
    <t>4 TB out + 16 TB intra</t>
  </si>
  <si>
    <t>VPC Data Transfer 4TB out + 16TB intra. [Source: AWS Calculator ap-south-2]</t>
  </si>
  <si>
    <t>HMS Threat Detection</t>
  </si>
  <si>
    <t>GuardDuty HMS Threat Detection. [Source: AWS Calculator ap-south-2]</t>
  </si>
  <si>
    <t>HMS Monitoring</t>
  </si>
  <si>
    <t>320 metrics, 122 GB</t>
  </si>
  <si>
    <t>CloudWatch HMS 320 metrics, 122GB logs. [Source: AWS Calculator ap-south-2]</t>
  </si>
  <si>
    <t>HMS Primary Backup</t>
  </si>
  <si>
    <t>3.5 TB, 7-day</t>
  </si>
  <si>
    <t>AWS Backup 3.5TB, 7-day retention. Replaces CommVault. [Source: AWS Calculator ap-south-2]</t>
  </si>
  <si>
    <t>AWS DRS</t>
  </si>
  <si>
    <t>HMS DR Replication</t>
  </si>
  <si>
    <t>10 servers, 5TB, 30 disks</t>
  </si>
  <si>
    <t>AWS DRS 10 servers, 5TB, 30 disks. Cross-region HYD→Mumbai. [Source: AWS Calculator ap-south-1]</t>
  </si>
  <si>
    <t>Analytics Backup</t>
  </si>
  <si>
    <t>Backup only</t>
  </si>
  <si>
    <t>Redshift DR Backup only 1TB. [Source: AWS Calculator ap-south-1]</t>
  </si>
  <si>
    <t>CRR Replica</t>
  </si>
  <si>
    <t>S3 Cross-Region Replica 8TB. [Source: AWS Calculator ap-south-1]</t>
  </si>
  <si>
    <t>RDS MySQL Cross-Region Replica. [Source: AWS Calculator ap-south-1]</t>
  </si>
  <si>
    <t>DR Load Balancers</t>
  </si>
  <si>
    <t>ELB DR 1 ALB + 1 NLB. [Source: AWS Calculator ap-south-1]</t>
  </si>
  <si>
    <t>DR Threat Detection</t>
  </si>
  <si>
    <t>GuardDuty DR Threat Detection. [Source: AWS Calculator ap-south-1]</t>
  </si>
  <si>
    <t>DR Monitoring</t>
  </si>
  <si>
    <t>100 metrics</t>
  </si>
  <si>
    <t>CloudWatch DR 100 metrics. [Source: AWS Calculator ap-south-1]</t>
  </si>
  <si>
    <t>Cross-Region Copy</t>
  </si>
  <si>
    <t>AWS Backup Cross-Region Copy 3.5TB. [Source: AWS Calculator ap-south-1]</t>
  </si>
  <si>
    <t>TOTAL Existing AWS HMS</t>
  </si>
  <si>
    <t xml:space="preserve">*Pricing yet to validate. Required Details Bill of AWS, will help here. </t>
  </si>
  <si>
    <t>Active Directory &amp; PACS Infrastructure — Rainbow Hospitals</t>
  </si>
  <si>
    <t>Updated: 25-Apr-2026 | AD details from Narsima (AWS SA) | PACS: Separate Managed AD domain</t>
  </si>
  <si>
    <t>ARCHITECTURE: Dual AD — Self-managed (core) + AWS Managed AD (PACS)</t>
  </si>
  <si>
    <t>KEY ARCHITECTURE DECISIONS</t>
  </si>
  <si>
    <t>1. RAINDC03/02 (rainbow.local) stays in Primary TCO — serves HIS, SAP, Blood Bank, Biometric, all existing workloads. No changes.</t>
  </si>
  <si>
    <t>2. New AWS Managed Microsoft AD (imaging.rainbow.local) created specifically for PACS — separate security boundary.</t>
  </si>
  <si>
    <t>3. One-way forest trust: PACS domain trusts Rainbow domain → radiologists get SSO to PACS without separate login.</t>
  </si>
  <si>
    <t>4. PACS ↔ HIS integration via HL7/Mirth Connect is network-level (TCP/IP) — not AD-dependent.</t>
  </si>
  <si>
    <t>5. 25 branch AD servers stay on-premises — provide local auth, DNS, DHCP. Not migrated to AWS.</t>
  </si>
  <si>
    <t>6. Amazon FSx (rainbow.local) replaces 12 TB branch file shares — domain-joined to RAINDC03/02.</t>
  </si>
  <si>
    <t>7. FSx (imaging.rainbow.local) for PACS imaging storage — domain-joined to Managed AD.</t>
  </si>
  <si>
    <t>8. Route 53 Resolver still required — forwards DNS for both domains + CtrlS trust.</t>
  </si>
  <si>
    <t>9. DR: RAINDC03 DR (self-managed, Mumbai) + Managed AD multi-region replica (native, Mumbai) + FSx DR.</t>
  </si>
  <si>
    <t>AD ENVIRONMENT SUMMARY (From Narsima — 25-Apr-2026)</t>
  </si>
  <si>
    <t>Total AD Objects</t>
  </si>
  <si>
    <t>3,374 (users + computers)</t>
  </si>
  <si>
    <t>Domain Structure</t>
  </si>
  <si>
    <t>Single domain (rainbow.local)</t>
  </si>
  <si>
    <t>Group Policy</t>
  </si>
  <si>
    <t>GPO policies in place, not complex</t>
  </si>
  <si>
    <t>DNS/DHCP</t>
  </si>
  <si>
    <t>Core switch at most locations; 4 locations have DNS on local AD server</t>
  </si>
  <si>
    <t>AD-Dependent Apps</t>
  </si>
  <si>
    <t>LDAP configured for HIS (Hospital Information System)</t>
  </si>
  <si>
    <t>Trust Relationships</t>
  </si>
  <si>
    <t>Existing trust with CtrlS domain</t>
  </si>
  <si>
    <t>Branch Connectivity</t>
  </si>
  <si>
    <t>MPLS to CtrlS, AWS VPN tunnels already configured</t>
  </si>
  <si>
    <t>File Share Storage</t>
  </si>
  <si>
    <t>20 TB total, 12 TB used (breakdown per location pending)</t>
  </si>
  <si>
    <t>OS Upgrades Needed</t>
  </si>
  <si>
    <t>13 servers on Win 2016, 1 on Win 2012 R2 (EOL), 1 Eval license</t>
  </si>
  <si>
    <t>BRANCH AD SERVER INVENTORY (25 Locations — On-Premises, NOT migrated to AWS)</t>
  </si>
  <si>
    <t>Location</t>
  </si>
  <si>
    <t>IP Address</t>
  </si>
  <si>
    <t>Hostname</t>
  </si>
  <si>
    <t>Migration Strategy</t>
  </si>
  <si>
    <t>DNS on Local Server?</t>
  </si>
  <si>
    <t>Secunderabad</t>
  </si>
  <si>
    <t>192.168.40.12</t>
  </si>
  <si>
    <t>RCHVKPSV03</t>
  </si>
  <si>
    <t>Win Server 2019 Std</t>
  </si>
  <si>
    <t>Keep On-Prem</t>
  </si>
  <si>
    <t>Current OS</t>
  </si>
  <si>
    <t>Kondapur OP</t>
  </si>
  <si>
    <t>192.168.30.12</t>
  </si>
  <si>
    <t>RCHMPSV01</t>
  </si>
  <si>
    <t>Win Server 2016 Std</t>
  </si>
  <si>
    <t>Upgrade 2016→2022</t>
  </si>
  <si>
    <t>Kondapur IP</t>
  </si>
  <si>
    <t>192.168.3.10</t>
  </si>
  <si>
    <t>RCHKPSV04</t>
  </si>
  <si>
    <t>Malviya Nagar</t>
  </si>
  <si>
    <t>192.168.13.25</t>
  </si>
  <si>
    <t>RCHMNSV001</t>
  </si>
  <si>
    <t>Win Server 2012 R2 Std</t>
  </si>
  <si>
    <t>⚠️ EOL — upgrade mandatory</t>
  </si>
  <si>
    <t>Rosewalk</t>
  </si>
  <si>
    <t>192.168.34.12</t>
  </si>
  <si>
    <t>RCHPPDSV01</t>
  </si>
  <si>
    <t>Win Server 2016</t>
  </si>
  <si>
    <t>Vizag Health City</t>
  </si>
  <si>
    <t>192.168.36.12</t>
  </si>
  <si>
    <t>RCHHCVSV01</t>
  </si>
  <si>
    <t>Win Server 2019</t>
  </si>
  <si>
    <t>Yes</t>
  </si>
  <si>
    <t>DNS on local AD</t>
  </si>
  <si>
    <t>Guindy</t>
  </si>
  <si>
    <t>192.168.25.21</t>
  </si>
  <si>
    <t>RCHGDYSV01</t>
  </si>
  <si>
    <t>Hebbal</t>
  </si>
  <si>
    <t>192.168.37.13</t>
  </si>
  <si>
    <t>RCHHBBSV01</t>
  </si>
  <si>
    <t>Heart Institute</t>
  </si>
  <si>
    <t>192.168.32.12</t>
  </si>
  <si>
    <t>RCHBCHSV001</t>
  </si>
  <si>
    <t>BG Road</t>
  </si>
  <si>
    <t>192.168.8.12</t>
  </si>
  <si>
    <t>RCHBGSV05</t>
  </si>
  <si>
    <t>Hydernagar</t>
  </si>
  <si>
    <t>192.168.6.10</t>
  </si>
  <si>
    <t>RCHHNSV03</t>
  </si>
  <si>
    <t>Currency Nagar</t>
  </si>
  <si>
    <t>192.168.5.12</t>
  </si>
  <si>
    <t>RCHCUVSV01</t>
  </si>
  <si>
    <t>Win Storage Server 2016</t>
  </si>
  <si>
    <t>⚠️ Storage Server — file share priority</t>
  </si>
  <si>
    <t>Marathahalli</t>
  </si>
  <si>
    <t>192.168.7.207</t>
  </si>
  <si>
    <t>RCHMHSV07</t>
  </si>
  <si>
    <t>LB Nagar</t>
  </si>
  <si>
    <t>192.168.10.234</t>
  </si>
  <si>
    <t>RCHLBNSV01</t>
  </si>
  <si>
    <t>Banjara Hills</t>
  </si>
  <si>
    <t>192.168.17.22</t>
  </si>
  <si>
    <t>RCHBHSV02</t>
  </si>
  <si>
    <t>Sholinganallur</t>
  </si>
  <si>
    <t>192.168.45.12</t>
  </si>
  <si>
    <t>RCHSNCSV01</t>
  </si>
  <si>
    <t>Win Server 2022 Std</t>
  </si>
  <si>
    <t>Latest OS</t>
  </si>
  <si>
    <t>Himayatnagar</t>
  </si>
  <si>
    <t>192.168.51.7</t>
  </si>
  <si>
    <t>RCHHMNRSV01</t>
  </si>
  <si>
    <t>Sarjapur</t>
  </si>
  <si>
    <t>192.168.53.7</t>
  </si>
  <si>
    <t>RCHSRJPSV01</t>
  </si>
  <si>
    <t>Annanagar</t>
  </si>
  <si>
    <t>192.168.55.7</t>
  </si>
  <si>
    <t>RCHANCSV01</t>
  </si>
  <si>
    <t>Warangal</t>
  </si>
  <si>
    <t>192.168.58.9</t>
  </si>
  <si>
    <t>RCHWGLSV02</t>
  </si>
  <si>
    <t>Guwahati</t>
  </si>
  <si>
    <t>192.168.60.11</t>
  </si>
  <si>
    <t>RCHPBGSV01</t>
  </si>
  <si>
    <t>Rajahmundry</t>
  </si>
  <si>
    <t>192.168.63.6</t>
  </si>
  <si>
    <t>RCHRJYSV02</t>
  </si>
  <si>
    <t>B'lore Electronic City</t>
  </si>
  <si>
    <t>192.168.66.9</t>
  </si>
  <si>
    <t>RCHECSV01</t>
  </si>
  <si>
    <t>Win Server 2022 Std Eval</t>
  </si>
  <si>
    <t>⚠️ Eval license</t>
  </si>
  <si>
    <t>Hennur Clinic</t>
  </si>
  <si>
    <t>192.168.70.9</t>
  </si>
  <si>
    <t>RCHHNCSV01</t>
  </si>
  <si>
    <t>AWS SERVICES — AD &amp; PACS INFRASTRUCTURE (Added to TCO)</t>
  </si>
  <si>
    <t>Monthly $ (USD)</t>
  </si>
  <si>
    <t>Annual $ (USD)</t>
  </si>
  <si>
    <t>AWS Managed AD (PACS)</t>
  </si>
  <si>
    <t>Standard — imaging.rainbow.local</t>
  </si>
  <si>
    <t>AD Infrastructure</t>
  </si>
  <si>
    <t>Separate AD for PACS. 2 DCs auto-managed in 2 AZs.</t>
  </si>
  <si>
    <t>Managed AD DR Replica</t>
  </si>
  <si>
    <t>Multi-region extension</t>
  </si>
  <si>
    <t>Native replication to Mumbai. No manual DR setup.</t>
  </si>
  <si>
    <t>RSAT Management EC2</t>
  </si>
  <si>
    <t>t3.small Win — GPO/user admin</t>
  </si>
  <si>
    <t>RSAT tools for Managed AD administration.</t>
  </si>
  <si>
    <t>Amazon FSx (core)</t>
  </si>
  <si>
    <t>Multi-AZ, 12 TB SSD, 256 MB/s</t>
  </si>
  <si>
    <t>Replaces 12 TB branch file shares. DFS namespaces.</t>
  </si>
  <si>
    <t>FSx DR Replica (core)</t>
  </si>
  <si>
    <t>Single-AZ, 12 TB SSD</t>
  </si>
  <si>
    <t>Cross-region async replication of 12 TB AD file shares to Mumbai.</t>
  </si>
  <si>
    <t>FSx (PACS imaging)</t>
  </si>
  <si>
    <t>Multi-AZ, 5 TB SSD (assumed)</t>
  </si>
  <si>
    <t>⚠️ DICOM imaging storage. Pending customer specs.</t>
  </si>
  <si>
    <t>Route 53 Resolver (In)</t>
  </si>
  <si>
    <t>2 inbound endpoints</t>
  </si>
  <si>
    <t>Branch DNS → AWS resource resolution.</t>
  </si>
  <si>
    <t>Route 53 Resolver (Out)</t>
  </si>
  <si>
    <t>Outbound to CtrlS + both domains</t>
  </si>
  <si>
    <t>CtrlS trust + dual domain DNS forwarding.</t>
  </si>
  <si>
    <t>PACS App Server</t>
  </si>
  <si>
    <t>m6i.2xlarge (8v/32GB) assumed</t>
  </si>
  <si>
    <t>⚠️ Typical PACS server. Pending customer specs.</t>
  </si>
  <si>
    <t>PACS Archive (S3)</t>
  </si>
  <si>
    <t>S3 IT 5 TB (assumed)</t>
  </si>
  <si>
    <t>⚠️ PACS DICOM long-term archive (S3). Separate from the 12 TB AD file shares. Volume pending customer.</t>
  </si>
  <si>
    <t>Forest Trust Config</t>
  </si>
  <si>
    <t>One-way trust (PACS trusts Rainbow)</t>
  </si>
  <si>
    <t>Configuration only. No recurring cost.</t>
  </si>
  <si>
    <t>TOTAL — Confirmed Items Only</t>
  </si>
  <si>
    <t>Excludes placeholder items pending customer specs</t>
  </si>
  <si>
    <t>TOTAL — All Items (incl. placeholders)</t>
  </si>
  <si>
    <t>Includes PACS placeholders — refine after customer confirmation</t>
  </si>
  <si>
    <t>Source (GB)</t>
  </si>
  <si>
    <t>Used (GB)</t>
  </si>
  <si>
    <t>New EBS (GB)</t>
  </si>
  <si>
    <t>Rationale</t>
  </si>
  <si>
    <t>~1,036</t>
  </si>
  <si>
    <t>Highest active util. 1036/0.70 = 1,480 → rounded to 1,400</t>
  </si>
  <si>
    <t>~1,082</t>
  </si>
  <si>
    <t>1082/0.70 = 1,546 → rounded to 1,450</t>
  </si>
  <si>
    <t>~1,668</t>
  </si>
  <si>
    <t>1668/0.70 = 2,383 → rounded to 2,250</t>
  </si>
  <si>
    <t>~619</t>
  </si>
  <si>
    <t>619/0.70 = 884 → rounded to 850</t>
  </si>
  <si>
    <t>~653</t>
  </si>
  <si>
    <t>Just above 80%, small buffer added</t>
  </si>
  <si>
    <t>~888</t>
  </si>
  <si>
    <t>At 80% threshold, small buffer</t>
  </si>
  <si>
    <t>~120</t>
  </si>
  <si>
    <t>Small disk, small buffer (~30 GB)</t>
  </si>
  <si>
    <t>Servers with disk utilization ≥ 85%: Increased EBS to bring the target steady-state utilization down to approximately 70%. The formula used: New EBS = Current Used Data / 0.70</t>
  </si>
  <si>
    <t>Servers with disk utilization 80-85%: Small buffer added (rounding up to nearest 50-100 GB) since they're approaching the threshold but not critical yet.</t>
  </si>
  <si>
    <t>Servers with disk utilization &lt; 80%: Kept at source allocation or rounded up minimally.</t>
  </si>
  <si>
    <t>Servers with no utilization data: Kept at source allocation — no justification to change without data.</t>
  </si>
  <si>
    <t>Why 70% Target?</t>
  </si>
  <si>
    <t>This is an industry-standard best practice for production storage:</t>
  </si>
  <si>
    <t>OS/application overhead: Windows needs 10-15% free for updates, page files, temp files, crash dumps</t>
  </si>
  <si>
    <t>Database growth buffer: SQL Server and HANA need free space for transaction logs, tempdb growth, index rebuilds</t>
  </si>
  <si>
    <t>Alert threshold: Most monitoring tools trigger warnings at 80% and critical at 90%. Sizing at 70% gives a ~10% buffer before alerts fire.</t>
  </si>
  <si>
    <t>EBS expansion window: While EBS gp3 can be expanded online, the cooldown period is 6 hours between modifications. If disk hits 95% during a batch job, you need pre-existing headroom.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</si>
</sst>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_-[$$-C09]* #,##0.00_-;\-[$$-C09]* #,##0.00_-;_-[$$-C09]* \-??_-;_-@_-"/>
    <numFmt numFmtId="166" formatCode="_(\$* #,##0.00_);_(\$* \(#,##0.00\);_(\$* \-??_);_(@_)"/>
    <numFmt numFmtId="167" formatCode="_([$$-409]* #,##0.00_);_([$$-409]* \(#,##0.00\);_([$$-409]* \-??_);_(@_)"/>
  </numFmts>
  <fonts count="85" x14ac:knownFonts="1">
    <font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1"/>
      <color rgb="FF7B2D8B"/>
      <name val="Calibri"/>
      <family val="2"/>
      <charset val="1"/>
    </font>
    <font>
      <b/>
      <sz val="14"/>
      <color rgb="FF1F3864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7B2D8B"/>
      <name val="Calibri"/>
      <family val="2"/>
      <charset val="1"/>
    </font>
    <font>
      <b/>
      <sz val="14"/>
      <color rgb="FFC00000"/>
      <name val="Calibri"/>
      <family val="2"/>
      <charset val="1"/>
    </font>
    <font>
      <b/>
      <sz val="12"/>
      <color rgb="FF1F3864"/>
      <name val="Calibri"/>
      <family val="2"/>
      <charset val="1"/>
    </font>
    <font>
      <sz val="11"/>
      <color rgb="FF375623"/>
      <name val="Calibri"/>
      <family val="2"/>
      <charset val="1"/>
    </font>
    <font>
      <b/>
      <sz val="14"/>
      <color rgb="FF375623"/>
      <name val="Calibri"/>
      <family val="2"/>
      <charset val="1"/>
    </font>
    <font>
      <sz val="11"/>
      <color rgb="FFBF8F00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7B2D8B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sz val="10"/>
      <color rgb="FFD35400"/>
      <name val="Arial"/>
      <family val="2"/>
      <charset val="1"/>
    </font>
    <font>
      <sz val="10"/>
      <color rgb="FF5B2C6F"/>
      <name val="Arial"/>
      <family val="2"/>
      <charset val="1"/>
    </font>
    <font>
      <b/>
      <sz val="10"/>
      <color rgb="FFC00000"/>
      <name val="Arial"/>
      <family val="2"/>
      <charset val="1"/>
    </font>
    <font>
      <sz val="10"/>
      <color rgb="FFBF8F00"/>
      <name val="Arial"/>
      <family val="2"/>
      <charset val="1"/>
    </font>
    <font>
      <b/>
      <sz val="10"/>
      <color rgb="FFFF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/>
      <sz val="14"/>
      <color rgb="FF1F4E79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0"/>
      <name val="Arial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b/>
      <sz val="11"/>
      <color rgb="FF1F4E79"/>
      <name val="Arial"/>
      <family val="2"/>
      <charset val="1"/>
    </font>
    <font>
      <b/>
      <sz val="12"/>
      <name val="Calibri"/>
      <family val="2"/>
      <charset val="1"/>
    </font>
    <font>
      <b/>
      <sz val="12"/>
      <color rgb="FFC00000"/>
      <name val="Calibri"/>
      <family val="2"/>
      <charset val="1"/>
    </font>
    <font>
      <sz val="10"/>
      <color rgb="FFC00000"/>
      <name val="Calibri"/>
      <family val="2"/>
      <charset val="1"/>
    </font>
    <font>
      <sz val="10"/>
      <color rgb="FF375623"/>
      <name val="Calibri"/>
      <family val="2"/>
      <charset val="1"/>
    </font>
    <font>
      <b/>
      <sz val="10"/>
      <color rgb="FF375623"/>
      <name val="Calibri"/>
      <family val="2"/>
      <charset val="1"/>
    </font>
    <font>
      <sz val="10"/>
      <color rgb="FFBF8F00"/>
      <name val="Calibri"/>
      <family val="2"/>
      <charset val="1"/>
    </font>
    <font>
      <b/>
      <sz val="12"/>
      <color rgb="FF375623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1F3864"/>
      <name val="Calibri"/>
      <family val="2"/>
      <charset val="1"/>
    </font>
    <font>
      <b/>
      <sz val="9"/>
      <color rgb="FF375623"/>
      <name val="Calibri"/>
      <family val="2"/>
      <charset val="1"/>
    </font>
    <font>
      <b/>
      <sz val="9"/>
      <color rgb="FF2E75B6"/>
      <name val="Calibri"/>
      <family val="2"/>
      <charset val="1"/>
    </font>
    <font>
      <b/>
      <sz val="9"/>
      <color rgb="FF7B2D8B"/>
      <name val="Calibri"/>
      <family val="2"/>
      <charset val="1"/>
    </font>
    <font>
      <b/>
      <sz val="9"/>
      <color rgb="FFC00000"/>
      <name val="Calibri"/>
      <family val="2"/>
      <charset val="1"/>
    </font>
    <font>
      <b/>
      <sz val="9"/>
      <color rgb="FFBF8F00"/>
      <name val="Calibri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808080"/>
      <name val="Calibri"/>
      <family val="2"/>
      <charset val="1"/>
    </font>
    <font>
      <sz val="9"/>
      <color rgb="FF7B2D8B"/>
      <name val="Calibri"/>
      <family val="2"/>
      <charset val="1"/>
    </font>
    <font>
      <b/>
      <sz val="9"/>
      <color rgb="FF1F3864"/>
      <name val="Arial"/>
      <family val="2"/>
      <charset val="1"/>
    </font>
    <font>
      <i/>
      <sz val="9"/>
      <color rgb="FF1F3864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theme="0"/>
      <name val="Arial"/>
      <family val="2"/>
      <charset val="1"/>
    </font>
    <font>
      <b/>
      <sz val="9"/>
      <color rgb="FF0D6E6E"/>
      <name val="Calibri"/>
      <family val="2"/>
      <charset val="1"/>
    </font>
    <font>
      <sz val="9"/>
      <color rgb="FFC00000"/>
      <name val="Calibri"/>
      <family val="2"/>
      <charset val="1"/>
    </font>
    <font>
      <b/>
      <sz val="12"/>
      <color rgb="FF0D6E6E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5B2C6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5B2C6F"/>
      <name val="Arial"/>
      <family val="2"/>
      <charset val="1"/>
    </font>
    <font>
      <sz val="9"/>
      <color rgb="FFC00000"/>
      <name val="Arial"/>
      <family val="2"/>
      <charset val="1"/>
    </font>
    <font>
      <b/>
      <sz val="10"/>
      <color rgb="FF80808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C00000"/>
      <name val="Arial"/>
      <family val="2"/>
      <charset val="1"/>
    </font>
    <font>
      <sz val="10"/>
      <color rgb="FF375623"/>
      <name val="Arial"/>
      <family val="2"/>
      <charset val="1"/>
    </font>
    <font>
      <sz val="10"/>
      <color rgb="FF1F3864"/>
      <name val="Arial"/>
      <family val="2"/>
      <charset val="1"/>
    </font>
    <font>
      <b/>
      <sz val="10"/>
      <color rgb="FFD35400"/>
      <name val="Arial"/>
      <family val="2"/>
      <charset val="1"/>
    </font>
    <font>
      <b/>
      <sz val="10"/>
      <color rgb="FF375623"/>
      <name val="Arial"/>
      <family val="2"/>
      <charset val="1"/>
    </font>
    <font>
      <b/>
      <sz val="11"/>
      <color rgb="FFD35400"/>
      <name val="Arial"/>
      <family val="2"/>
      <charset val="1"/>
    </font>
    <font>
      <b/>
      <sz val="13"/>
      <color rgb="FF7B2D8B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2"/>
      <color theme="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375623"/>
      <name val="Arial"/>
      <family val="2"/>
      <charset val="1"/>
    </font>
    <font>
      <sz val="9"/>
      <color rgb="FF2E75B6"/>
      <name val="Calibri"/>
      <family val="2"/>
      <charset val="1"/>
    </font>
    <font>
      <b/>
      <sz val="13.5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BF5FF"/>
        <bgColor rgb="FFEBF6FF"/>
      </patternFill>
    </fill>
    <fill>
      <patternFill patternType="solid">
        <fgColor rgb="FFFFFFFF"/>
        <bgColor rgb="FFEBF6FF"/>
      </patternFill>
    </fill>
    <fill>
      <patternFill patternType="solid">
        <fgColor rgb="FFD4E6F1"/>
        <bgColor rgb="FFD6E4F0"/>
      </patternFill>
    </fill>
    <fill>
      <patternFill patternType="solid">
        <fgColor rgb="FF8B0000"/>
        <bgColor rgb="FFC00000"/>
      </patternFill>
    </fill>
    <fill>
      <patternFill patternType="solid">
        <fgColor rgb="FFFADBD8"/>
        <bgColor rgb="FFFCE4D6"/>
      </patternFill>
    </fill>
    <fill>
      <patternFill patternType="solid">
        <fgColor rgb="FF1F4E79"/>
        <bgColor rgb="FF1F3864"/>
      </patternFill>
    </fill>
    <fill>
      <patternFill patternType="solid">
        <fgColor rgb="FFD6E4F0"/>
        <bgColor rgb="FFD5E3F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BF5FF"/>
      </patternFill>
    </fill>
    <fill>
      <patternFill patternType="solid">
        <fgColor rgb="FFE2EFDA"/>
        <bgColor rgb="FFE2F0DB"/>
      </patternFill>
    </fill>
    <fill>
      <patternFill patternType="solid">
        <fgColor rgb="FF2E75B6"/>
        <bgColor rgb="FF0066CC"/>
      </patternFill>
    </fill>
    <fill>
      <patternFill patternType="solid">
        <fgColor rgb="FFD5E3F0"/>
        <bgColor rgb="FFD6E4F0"/>
      </patternFill>
    </fill>
    <fill>
      <patternFill patternType="solid">
        <fgColor theme="8" tint="0.59959715567491678"/>
        <bgColor rgb="FFD5E3F0"/>
      </patternFill>
    </fill>
    <fill>
      <patternFill patternType="solid">
        <fgColor theme="6" tint="0.59959715567491678"/>
        <bgColor rgb="FFC6EFCE"/>
      </patternFill>
    </fill>
    <fill>
      <patternFill patternType="solid">
        <fgColor rgb="FFD9E1F2"/>
        <bgColor rgb="FFD5E3F0"/>
      </patternFill>
    </fill>
    <fill>
      <patternFill patternType="solid">
        <fgColor rgb="FFFCE4D6"/>
        <bgColor rgb="FFFADBD8"/>
      </patternFill>
    </fill>
    <fill>
      <patternFill patternType="solid">
        <fgColor rgb="FFFFE699"/>
        <bgColor rgb="FFFFE4B5"/>
      </patternFill>
    </fill>
    <fill>
      <patternFill patternType="solid">
        <fgColor rgb="FFE7E6E6"/>
        <bgColor rgb="FFE2EFDA"/>
      </patternFill>
    </fill>
    <fill>
      <patternFill patternType="solid">
        <fgColor rgb="FFFFE4B5"/>
        <bgColor rgb="FFFFE699"/>
      </patternFill>
    </fill>
    <fill>
      <patternFill patternType="solid">
        <fgColor rgb="FFBF8F00"/>
        <bgColor rgb="FFD35400"/>
      </patternFill>
    </fill>
    <fill>
      <patternFill patternType="solid">
        <fgColor rgb="FF7B2D8B"/>
        <bgColor rgb="FF5B2C6F"/>
      </patternFill>
    </fill>
    <fill>
      <patternFill patternType="solid">
        <fgColor rgb="FFEAD1DC"/>
        <bgColor rgb="FFEBD1DD"/>
      </patternFill>
    </fill>
    <fill>
      <patternFill patternType="solid">
        <fgColor rgb="FFDDEBF7"/>
        <bgColor rgb="FFD6EAF8"/>
      </patternFill>
    </fill>
    <fill>
      <patternFill patternType="solid">
        <fgColor rgb="FF375623"/>
        <bgColor rgb="FF555555"/>
      </patternFill>
    </fill>
    <fill>
      <patternFill patternType="solid">
        <fgColor rgb="FFEBF6FF"/>
        <bgColor rgb="FFEBF5FF"/>
      </patternFill>
    </fill>
    <fill>
      <patternFill patternType="solid">
        <fgColor rgb="FFEBD1DD"/>
        <bgColor rgb="FFEAD1DC"/>
      </patternFill>
    </fill>
    <fill>
      <patternFill patternType="solid">
        <fgColor rgb="FFC6EFCE"/>
        <bgColor rgb="FFD5F5E3"/>
      </patternFill>
    </fill>
    <fill>
      <patternFill patternType="solid">
        <fgColor rgb="FF0D6E6E"/>
        <bgColor rgb="FF008080"/>
      </patternFill>
    </fill>
    <fill>
      <patternFill patternType="solid">
        <fgColor rgb="FF5B2C6F"/>
        <bgColor rgb="FF7B2D8B"/>
      </patternFill>
    </fill>
    <fill>
      <patternFill patternType="solid">
        <fgColor rgb="FFD6EAF8"/>
        <bgColor rgb="FFDDEBF7"/>
      </patternFill>
    </fill>
    <fill>
      <patternFill patternType="solid">
        <fgColor rgb="FFD35400"/>
        <bgColor rgb="FF993300"/>
      </patternFill>
    </fill>
    <fill>
      <patternFill patternType="solid">
        <fgColor rgb="FFD5F5E3"/>
        <bgColor rgb="FFE2F0DB"/>
      </patternFill>
    </fill>
    <fill>
      <patternFill patternType="solid">
        <fgColor rgb="FFE2F0DB"/>
        <bgColor rgb="FFE2EF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CCCCC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</borders>
  <cellStyleXfs count="4">
    <xf numFmtId="0" fontId="0" fillId="0" borderId="0"/>
    <xf numFmtId="166" fontId="18" fillId="0" borderId="0"/>
    <xf numFmtId="0" fontId="33" fillId="0" borderId="0"/>
    <xf numFmtId="0" fontId="1" fillId="0" borderId="0"/>
  </cellStyleXfs>
  <cellXfs count="374">
    <xf numFmtId="0" fontId="0" fillId="0" borderId="0" xfId="0"/>
    <xf numFmtId="0" fontId="30" fillId="0" borderId="0" xfId="0" applyFon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164" fontId="17" fillId="3" borderId="1" xfId="0" applyNumberFormat="1" applyFont="1" applyFill="1" applyBorder="1" applyAlignment="1">
      <alignment horizontal="right" vertical="center"/>
    </xf>
    <xf numFmtId="164" fontId="18" fillId="3" borderId="1" xfId="0" applyNumberFormat="1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164" fontId="17" fillId="4" borderId="1" xfId="0" applyNumberFormat="1" applyFont="1" applyFill="1" applyBorder="1" applyAlignment="1">
      <alignment horizontal="right" vertical="center"/>
    </xf>
    <xf numFmtId="164" fontId="18" fillId="4" borderId="1" xfId="0" applyNumberFormat="1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164" fontId="17" fillId="5" borderId="1" xfId="0" applyNumberFormat="1" applyFont="1" applyFill="1" applyBorder="1" applyAlignment="1">
      <alignment horizontal="right" vertical="center"/>
    </xf>
    <xf numFmtId="164" fontId="18" fillId="5" borderId="1" xfId="0" applyNumberFormat="1" applyFont="1" applyFill="1" applyBorder="1" applyAlignment="1">
      <alignment horizontal="right" vertical="center"/>
    </xf>
    <xf numFmtId="0" fontId="19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164" fontId="13" fillId="6" borderId="1" xfId="0" applyNumberFormat="1" applyFont="1" applyFill="1" applyBorder="1" applyAlignment="1">
      <alignment horizontal="right" vertical="center"/>
    </xf>
    <xf numFmtId="0" fontId="20" fillId="6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164" fontId="17" fillId="7" borderId="1" xfId="0" applyNumberFormat="1" applyFont="1" applyFill="1" applyBorder="1" applyAlignment="1">
      <alignment horizontal="right" vertical="center"/>
    </xf>
    <xf numFmtId="164" fontId="18" fillId="7" borderId="1" xfId="0" applyNumberFormat="1" applyFont="1" applyFill="1" applyBorder="1" applyAlignment="1">
      <alignment horizontal="right" vertical="center"/>
    </xf>
    <xf numFmtId="0" fontId="19" fillId="7" borderId="1" xfId="0" applyFont="1" applyFill="1" applyBorder="1" applyAlignment="1">
      <alignment horizontal="left" vertical="center" wrapText="1"/>
    </xf>
    <xf numFmtId="0" fontId="1" fillId="0" borderId="0" xfId="3"/>
    <xf numFmtId="165" fontId="1" fillId="0" borderId="0" xfId="3" applyNumberFormat="1"/>
    <xf numFmtId="0" fontId="26" fillId="0" borderId="0" xfId="3" applyFont="1" applyAlignment="1">
      <alignment horizontal="right"/>
    </xf>
    <xf numFmtId="165" fontId="26" fillId="0" borderId="0" xfId="3" applyNumberFormat="1" applyFont="1"/>
    <xf numFmtId="0" fontId="27" fillId="0" borderId="2" xfId="3" applyFont="1" applyBorder="1"/>
    <xf numFmtId="0" fontId="28" fillId="0" borderId="0" xfId="3" applyFont="1"/>
    <xf numFmtId="0" fontId="1" fillId="0" borderId="2" xfId="3" applyBorder="1"/>
    <xf numFmtId="165" fontId="1" fillId="0" borderId="2" xfId="3" applyNumberFormat="1" applyBorder="1"/>
    <xf numFmtId="165" fontId="27" fillId="0" borderId="2" xfId="3" applyNumberFormat="1" applyFont="1" applyBorder="1"/>
    <xf numFmtId="0" fontId="27" fillId="0" borderId="0" xfId="3" applyFont="1"/>
    <xf numFmtId="165" fontId="27" fillId="0" borderId="0" xfId="3" applyNumberFormat="1" applyFont="1"/>
    <xf numFmtId="0" fontId="15" fillId="8" borderId="0" xfId="0" applyFont="1" applyFill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164" fontId="18" fillId="0" borderId="3" xfId="0" applyNumberFormat="1" applyFont="1" applyBorder="1" applyAlignment="1">
      <alignment vertical="center" wrapText="1"/>
    </xf>
    <xf numFmtId="0" fontId="18" fillId="10" borderId="3" xfId="0" applyFont="1" applyFill="1" applyBorder="1" applyAlignment="1">
      <alignment vertical="center" wrapText="1"/>
    </xf>
    <xf numFmtId="164" fontId="18" fillId="10" borderId="3" xfId="0" applyNumberFormat="1" applyFont="1" applyFill="1" applyBorder="1" applyAlignment="1">
      <alignment vertical="center" wrapText="1"/>
    </xf>
    <xf numFmtId="0" fontId="31" fillId="11" borderId="0" xfId="0" applyFont="1" applyFill="1"/>
    <xf numFmtId="0" fontId="0" fillId="11" borderId="0" xfId="0" applyFill="1"/>
    <xf numFmtId="0" fontId="18" fillId="11" borderId="3" xfId="0" applyFont="1" applyFill="1" applyBorder="1" applyAlignment="1">
      <alignment vertical="center" wrapText="1"/>
    </xf>
    <xf numFmtId="164" fontId="18" fillId="11" borderId="3" xfId="0" applyNumberFormat="1" applyFont="1" applyFill="1" applyBorder="1" applyAlignment="1">
      <alignment vertical="center" wrapText="1"/>
    </xf>
    <xf numFmtId="0" fontId="32" fillId="12" borderId="3" xfId="0" applyFont="1" applyFill="1" applyBorder="1" applyAlignment="1">
      <alignment vertical="center" wrapText="1"/>
    </xf>
    <xf numFmtId="164" fontId="32" fillId="12" borderId="3" xfId="0" applyNumberFormat="1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33" fillId="0" borderId="0" xfId="2"/>
    <xf numFmtId="166" fontId="18" fillId="0" borderId="0" xfId="1"/>
    <xf numFmtId="0" fontId="34" fillId="1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left" vertical="center" wrapText="1"/>
    </xf>
    <xf numFmtId="164" fontId="36" fillId="3" borderId="1" xfId="0" applyNumberFormat="1" applyFont="1" applyFill="1" applyBorder="1" applyAlignment="1">
      <alignment horizontal="right" vertical="center" wrapText="1"/>
    </xf>
    <xf numFmtId="164" fontId="35" fillId="3" borderId="1" xfId="0" applyNumberFormat="1" applyFont="1" applyFill="1" applyBorder="1" applyAlignment="1">
      <alignment horizontal="right" vertical="center" wrapText="1"/>
    </xf>
    <xf numFmtId="0" fontId="35" fillId="4" borderId="1" xfId="0" applyFont="1" applyFill="1" applyBorder="1" applyAlignment="1">
      <alignment horizontal="left" vertical="center" wrapText="1"/>
    </xf>
    <xf numFmtId="164" fontId="36" fillId="4" borderId="1" xfId="0" applyNumberFormat="1" applyFont="1" applyFill="1" applyBorder="1" applyAlignment="1">
      <alignment horizontal="right" vertical="center" wrapText="1"/>
    </xf>
    <xf numFmtId="164" fontId="35" fillId="4" borderId="1" xfId="0" applyNumberFormat="1" applyFont="1" applyFill="1" applyBorder="1" applyAlignment="1">
      <alignment horizontal="right" vertical="center" wrapText="1"/>
    </xf>
    <xf numFmtId="0" fontId="35" fillId="14" borderId="1" xfId="0" applyFont="1" applyFill="1" applyBorder="1" applyAlignment="1">
      <alignment horizontal="left" vertical="center" wrapText="1"/>
    </xf>
    <xf numFmtId="164" fontId="36" fillId="14" borderId="1" xfId="0" applyNumberFormat="1" applyFont="1" applyFill="1" applyBorder="1" applyAlignment="1">
      <alignment horizontal="right" vertical="center" wrapText="1"/>
    </xf>
    <xf numFmtId="164" fontId="35" fillId="14" borderId="1" xfId="0" applyNumberFormat="1" applyFont="1" applyFill="1" applyBorder="1" applyAlignment="1">
      <alignment horizontal="right" vertical="center" wrapText="1"/>
    </xf>
    <xf numFmtId="0" fontId="18" fillId="11" borderId="0" xfId="0" applyFont="1" applyFill="1"/>
    <xf numFmtId="164" fontId="18" fillId="11" borderId="0" xfId="0" applyNumberFormat="1" applyFont="1" applyFill="1"/>
    <xf numFmtId="0" fontId="37" fillId="12" borderId="1" xfId="0" applyFont="1" applyFill="1" applyBorder="1" applyAlignment="1">
      <alignment horizontal="left" vertical="center" wrapText="1"/>
    </xf>
    <xf numFmtId="164" fontId="37" fillId="12" borderId="1" xfId="0" applyNumberFormat="1" applyFont="1" applyFill="1" applyBorder="1" applyAlignment="1">
      <alignment horizontal="right" vertical="center" wrapText="1"/>
    </xf>
    <xf numFmtId="0" fontId="38" fillId="15" borderId="1" xfId="0" applyFont="1" applyFill="1" applyBorder="1" applyAlignment="1">
      <alignment horizontal="left" vertical="center" wrapText="1"/>
    </xf>
    <xf numFmtId="164" fontId="38" fillId="15" borderId="1" xfId="0" applyNumberFormat="1" applyFont="1" applyFill="1" applyBorder="1" applyAlignment="1">
      <alignment horizontal="right" vertical="center" wrapText="1"/>
    </xf>
    <xf numFmtId="166" fontId="0" fillId="0" borderId="0" xfId="0" applyNumberFormat="1"/>
    <xf numFmtId="0" fontId="38" fillId="16" borderId="1" xfId="0" applyFont="1" applyFill="1" applyBorder="1" applyAlignment="1">
      <alignment horizontal="left" vertical="center" wrapText="1"/>
    </xf>
    <xf numFmtId="164" fontId="38" fillId="16" borderId="1" xfId="0" applyNumberFormat="1" applyFont="1" applyFill="1" applyBorder="1" applyAlignment="1">
      <alignment horizontal="right" vertical="center" wrapText="1"/>
    </xf>
    <xf numFmtId="0" fontId="39" fillId="0" borderId="1" xfId="0" applyFont="1" applyBorder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5" fillId="12" borderId="1" xfId="0" applyFont="1" applyFill="1" applyBorder="1" applyAlignment="1">
      <alignment horizontal="center" vertical="center" wrapText="1"/>
    </xf>
    <xf numFmtId="0" fontId="46" fillId="12" borderId="1" xfId="0" applyFont="1" applyFill="1" applyBorder="1" applyAlignment="1">
      <alignment horizontal="left" vertical="center" wrapText="1"/>
    </xf>
    <xf numFmtId="0" fontId="47" fillId="12" borderId="1" xfId="0" applyFont="1" applyFill="1" applyBorder="1" applyAlignment="1">
      <alignment horizontal="center" vertical="center" wrapText="1"/>
    </xf>
    <xf numFmtId="0" fontId="45" fillId="12" borderId="1" xfId="0" applyFont="1" applyFill="1" applyBorder="1" applyAlignment="1">
      <alignment horizontal="left" vertical="center" wrapText="1"/>
    </xf>
    <xf numFmtId="0" fontId="48" fillId="17" borderId="1" xfId="0" applyFont="1" applyFill="1" applyBorder="1" applyAlignment="1">
      <alignment horizontal="center" vertical="center" wrapText="1"/>
    </xf>
    <xf numFmtId="3" fontId="45" fillId="12" borderId="1" xfId="0" applyNumberFormat="1" applyFont="1" applyFill="1" applyBorder="1" applyAlignment="1">
      <alignment horizontal="center" vertical="center" wrapText="1"/>
    </xf>
    <xf numFmtId="0" fontId="4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164" fontId="45" fillId="12" borderId="1" xfId="0" applyNumberFormat="1" applyFont="1" applyFill="1" applyBorder="1" applyAlignment="1">
      <alignment horizontal="center" vertical="center" wrapText="1"/>
    </xf>
    <xf numFmtId="164" fontId="46" fillId="12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horizontal="left" vertical="center" wrapText="1"/>
    </xf>
    <xf numFmtId="0" fontId="47" fillId="18" borderId="1" xfId="0" applyFont="1" applyFill="1" applyBorder="1" applyAlignment="1">
      <alignment horizontal="center" vertical="center" wrapText="1"/>
    </xf>
    <xf numFmtId="0" fontId="50" fillId="18" borderId="1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left" vertical="center" wrapText="1"/>
    </xf>
    <xf numFmtId="0" fontId="51" fillId="19" borderId="1" xfId="0" applyFont="1" applyFill="1" applyBorder="1" applyAlignment="1">
      <alignment horizontal="center" vertical="center" wrapText="1"/>
    </xf>
    <xf numFmtId="3" fontId="45" fillId="18" borderId="1" xfId="0" applyNumberFormat="1" applyFont="1" applyFill="1" applyBorder="1" applyAlignment="1">
      <alignment horizontal="center" vertical="center" wrapText="1"/>
    </xf>
    <xf numFmtId="0" fontId="52" fillId="18" borderId="1" xfId="0" applyFont="1" applyFill="1" applyBorder="1" applyAlignment="1">
      <alignment horizontal="center" vertical="center" wrapText="1"/>
    </xf>
    <xf numFmtId="164" fontId="45" fillId="18" borderId="1" xfId="0" applyNumberFormat="1" applyFont="1" applyFill="1" applyBorder="1" applyAlignment="1">
      <alignment horizontal="center" vertical="center" wrapText="1"/>
    </xf>
    <xf numFmtId="164" fontId="46" fillId="18" borderId="1" xfId="0" applyNumberFormat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left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53" fillId="20" borderId="1" xfId="0" applyFont="1" applyFill="1" applyBorder="1" applyAlignment="1">
      <alignment horizontal="left" vertical="center" wrapText="1"/>
    </xf>
    <xf numFmtId="0" fontId="50" fillId="20" borderId="1" xfId="0" applyFont="1" applyFill="1" applyBorder="1" applyAlignment="1">
      <alignment horizontal="center" vertical="center" wrapText="1"/>
    </xf>
    <xf numFmtId="0" fontId="47" fillId="20" borderId="1" xfId="0" applyFont="1" applyFill="1" applyBorder="1" applyAlignment="1">
      <alignment horizontal="center" vertical="center" wrapText="1"/>
    </xf>
    <xf numFmtId="0" fontId="54" fillId="20" borderId="1" xfId="0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left" vertical="center" wrapText="1"/>
    </xf>
    <xf numFmtId="0" fontId="53" fillId="20" borderId="1" xfId="0" applyFont="1" applyFill="1" applyBorder="1" applyAlignment="1">
      <alignment horizontal="center" vertical="center" wrapText="1"/>
    </xf>
    <xf numFmtId="0" fontId="52" fillId="20" borderId="1" xfId="0" applyFont="1" applyFill="1" applyBorder="1" applyAlignment="1">
      <alignment horizontal="center" vertical="center" wrapText="1"/>
    </xf>
    <xf numFmtId="164" fontId="45" fillId="20" borderId="1" xfId="0" applyNumberFormat="1" applyFont="1" applyFill="1" applyBorder="1" applyAlignment="1">
      <alignment horizontal="center" vertical="center" wrapText="1"/>
    </xf>
    <xf numFmtId="164" fontId="53" fillId="20" borderId="1" xfId="0" applyNumberFormat="1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left" vertical="center" wrapText="1"/>
    </xf>
    <xf numFmtId="0" fontId="19" fillId="20" borderId="1" xfId="0" applyFont="1" applyFill="1" applyBorder="1" applyAlignment="1">
      <alignment horizontal="center" vertical="center" wrapText="1"/>
    </xf>
    <xf numFmtId="164" fontId="55" fillId="12" borderId="1" xfId="0" applyNumberFormat="1" applyFont="1" applyFill="1" applyBorder="1" applyAlignment="1">
      <alignment horizontal="center" vertical="center" wrapText="1"/>
    </xf>
    <xf numFmtId="0" fontId="52" fillId="12" borderId="1" xfId="0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left" vertical="center" wrapText="1"/>
    </xf>
    <xf numFmtId="0" fontId="47" fillId="21" borderId="1" xfId="0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left" vertical="center" wrapText="1"/>
    </xf>
    <xf numFmtId="3" fontId="45" fillId="21" borderId="1" xfId="0" applyNumberFormat="1" applyFont="1" applyFill="1" applyBorder="1" applyAlignment="1">
      <alignment horizontal="center" vertical="center" wrapText="1"/>
    </xf>
    <xf numFmtId="0" fontId="50" fillId="21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164" fontId="45" fillId="21" borderId="1" xfId="0" applyNumberFormat="1" applyFont="1" applyFill="1" applyBorder="1" applyAlignment="1">
      <alignment horizontal="center" vertical="center" wrapText="1"/>
    </xf>
    <xf numFmtId="164" fontId="46" fillId="21" borderId="1" xfId="0" applyNumberFormat="1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49" fillId="18" borderId="1" xfId="0" applyFont="1" applyFill="1" applyBorder="1" applyAlignment="1">
      <alignment horizontal="center" vertical="center" wrapText="1"/>
    </xf>
    <xf numFmtId="164" fontId="55" fillId="18" borderId="1" xfId="0" applyNumberFormat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left" vertical="center" wrapText="1"/>
    </xf>
    <xf numFmtId="0" fontId="47" fillId="10" borderId="1" xfId="0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left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50" fillId="10" borderId="1" xfId="0" applyFont="1" applyFill="1" applyBorder="1" applyAlignment="1">
      <alignment horizontal="center" vertical="center" wrapText="1"/>
    </xf>
    <xf numFmtId="164" fontId="45" fillId="10" borderId="1" xfId="0" applyNumberFormat="1" applyFont="1" applyFill="1" applyBorder="1" applyAlignment="1">
      <alignment horizontal="center" vertical="center" wrapText="1"/>
    </xf>
    <xf numFmtId="164" fontId="46" fillId="10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/>
    </xf>
    <xf numFmtId="0" fontId="0" fillId="2" borderId="1" xfId="0" applyFill="1" applyBorder="1"/>
    <xf numFmtId="164" fontId="0" fillId="2" borderId="1" xfId="0" applyNumberFormat="1" applyFill="1" applyBorder="1"/>
    <xf numFmtId="164" fontId="34" fillId="2" borderId="1" xfId="0" applyNumberFormat="1" applyFont="1" applyFill="1" applyBorder="1" applyAlignment="1">
      <alignment horizontal="center" vertical="center"/>
    </xf>
    <xf numFmtId="0" fontId="34" fillId="22" borderId="1" xfId="0" applyFont="1" applyFill="1" applyBorder="1" applyAlignment="1">
      <alignment horizontal="left" vertical="center"/>
    </xf>
    <xf numFmtId="0" fontId="0" fillId="22" borderId="1" xfId="0" applyFill="1" applyBorder="1"/>
    <xf numFmtId="164" fontId="0" fillId="22" borderId="1" xfId="0" applyNumberFormat="1" applyFill="1" applyBorder="1"/>
    <xf numFmtId="164" fontId="34" fillId="22" borderId="1" xfId="0" applyNumberFormat="1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/>
    </xf>
    <xf numFmtId="0" fontId="0" fillId="6" borderId="1" xfId="0" applyFill="1" applyBorder="1"/>
    <xf numFmtId="164" fontId="0" fillId="6" borderId="1" xfId="0" applyNumberFormat="1" applyFill="1" applyBorder="1"/>
    <xf numFmtId="164" fontId="34" fillId="6" borderId="1" xfId="0" applyNumberFormat="1" applyFont="1" applyFill="1" applyBorder="1" applyAlignment="1">
      <alignment horizontal="center" vertical="center"/>
    </xf>
    <xf numFmtId="0" fontId="2" fillId="23" borderId="0" xfId="0" applyFont="1" applyFill="1" applyAlignment="1">
      <alignment horizontal="left" vertical="center"/>
    </xf>
    <xf numFmtId="0" fontId="2" fillId="23" borderId="0" xfId="0" applyFont="1" applyFill="1" applyAlignment="1">
      <alignment horizontal="center" vertical="center"/>
    </xf>
    <xf numFmtId="0" fontId="34" fillId="23" borderId="1" xfId="0" applyFont="1" applyFill="1" applyBorder="1" applyAlignment="1">
      <alignment horizontal="center" vertical="center" wrapText="1"/>
    </xf>
    <xf numFmtId="0" fontId="45" fillId="24" borderId="1" xfId="0" applyFont="1" applyFill="1" applyBorder="1" applyAlignment="1">
      <alignment horizontal="center" vertical="center" wrapText="1"/>
    </xf>
    <xf numFmtId="0" fontId="46" fillId="24" borderId="1" xfId="0" applyFont="1" applyFill="1" applyBorder="1" applyAlignment="1">
      <alignment horizontal="left" vertical="center" wrapText="1"/>
    </xf>
    <xf numFmtId="0" fontId="47" fillId="24" borderId="1" xfId="0" applyFont="1" applyFill="1" applyBorder="1" applyAlignment="1">
      <alignment horizontal="center" vertical="center" wrapText="1"/>
    </xf>
    <xf numFmtId="0" fontId="49" fillId="24" borderId="1" xfId="0" applyFont="1" applyFill="1" applyBorder="1" applyAlignment="1">
      <alignment horizontal="center" vertical="center" wrapText="1"/>
    </xf>
    <xf numFmtId="0" fontId="45" fillId="24" borderId="1" xfId="0" applyFont="1" applyFill="1" applyBorder="1" applyAlignment="1">
      <alignment horizontal="left" vertical="center" wrapText="1"/>
    </xf>
    <xf numFmtId="3" fontId="45" fillId="24" borderId="1" xfId="0" applyNumberFormat="1" applyFont="1" applyFill="1" applyBorder="1" applyAlignment="1">
      <alignment horizontal="center" vertical="center" wrapText="1"/>
    </xf>
    <xf numFmtId="164" fontId="45" fillId="24" borderId="1" xfId="0" applyNumberFormat="1" applyFont="1" applyFill="1" applyBorder="1" applyAlignment="1">
      <alignment horizontal="center" vertical="center" wrapText="1"/>
    </xf>
    <xf numFmtId="164" fontId="46" fillId="24" borderId="1" xfId="0" applyNumberFormat="1" applyFont="1" applyFill="1" applyBorder="1" applyAlignment="1">
      <alignment horizontal="center" vertical="center" wrapText="1"/>
    </xf>
    <xf numFmtId="0" fontId="19" fillId="24" borderId="1" xfId="0" applyFont="1" applyFill="1" applyBorder="1" applyAlignment="1">
      <alignment horizontal="left" vertical="center" wrapText="1"/>
    </xf>
    <xf numFmtId="164" fontId="55" fillId="24" borderId="1" xfId="0" applyNumberFormat="1" applyFont="1" applyFill="1" applyBorder="1" applyAlignment="1">
      <alignment horizontal="center" vertical="center" wrapText="1"/>
    </xf>
    <xf numFmtId="0" fontId="56" fillId="25" borderId="1" xfId="0" applyFont="1" applyFill="1" applyBorder="1" applyAlignment="1">
      <alignment horizontal="left" vertical="center" wrapText="1"/>
    </xf>
    <xf numFmtId="0" fontId="0" fillId="25" borderId="1" xfId="0" applyFill="1" applyBorder="1"/>
    <xf numFmtId="164" fontId="0" fillId="25" borderId="1" xfId="0" applyNumberFormat="1" applyFill="1" applyBorder="1"/>
    <xf numFmtId="0" fontId="57" fillId="23" borderId="1" xfId="0" applyFont="1" applyFill="1" applyBorder="1" applyAlignment="1">
      <alignment horizontal="left" vertical="center"/>
    </xf>
    <xf numFmtId="0" fontId="0" fillId="23" borderId="1" xfId="0" applyFill="1" applyBorder="1"/>
    <xf numFmtId="164" fontId="0" fillId="23" borderId="1" xfId="0" applyNumberFormat="1" applyFill="1" applyBorder="1"/>
    <xf numFmtId="164" fontId="57" fillId="23" borderId="1" xfId="0" applyNumberFormat="1" applyFont="1" applyFill="1" applyBorder="1" applyAlignment="1">
      <alignment horizontal="center" vertical="center"/>
    </xf>
    <xf numFmtId="0" fontId="2" fillId="26" borderId="0" xfId="0" applyFont="1" applyFill="1" applyAlignment="1">
      <alignment horizontal="left" vertical="center"/>
    </xf>
    <xf numFmtId="0" fontId="2" fillId="26" borderId="0" xfId="0" applyFont="1" applyFill="1" applyAlignment="1">
      <alignment horizontal="center" vertical="center"/>
    </xf>
    <xf numFmtId="0" fontId="34" fillId="26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left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left" vertical="center" wrapText="1"/>
    </xf>
    <xf numFmtId="0" fontId="47" fillId="4" borderId="1" xfId="0" applyFont="1" applyFill="1" applyBorder="1" applyAlignment="1">
      <alignment horizontal="center" vertical="center" wrapText="1"/>
    </xf>
    <xf numFmtId="164" fontId="58" fillId="4" borderId="1" xfId="0" applyNumberFormat="1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left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left" vertical="center" wrapText="1"/>
    </xf>
    <xf numFmtId="0" fontId="47" fillId="3" borderId="1" xfId="0" applyFont="1" applyFill="1" applyBorder="1" applyAlignment="1">
      <alignment horizontal="center" vertical="center" wrapText="1"/>
    </xf>
    <xf numFmtId="164" fontId="58" fillId="3" borderId="1" xfId="0" applyNumberFormat="1" applyFont="1" applyFill="1" applyBorder="1" applyAlignment="1">
      <alignment horizontal="center" vertical="center" wrapText="1"/>
    </xf>
    <xf numFmtId="0" fontId="45" fillId="27" borderId="1" xfId="0" applyFont="1" applyFill="1" applyBorder="1" applyAlignment="1">
      <alignment horizontal="center" vertical="center" wrapText="1"/>
    </xf>
    <xf numFmtId="0" fontId="46" fillId="27" borderId="1" xfId="0" applyFont="1" applyFill="1" applyBorder="1" applyAlignment="1">
      <alignment horizontal="left" vertical="center" wrapText="1"/>
    </xf>
    <xf numFmtId="0" fontId="48" fillId="27" borderId="1" xfId="0" applyFont="1" applyFill="1" applyBorder="1" applyAlignment="1">
      <alignment horizontal="center" vertical="center" wrapText="1"/>
    </xf>
    <xf numFmtId="0" fontId="45" fillId="27" borderId="1" xfId="0" applyFont="1" applyFill="1" applyBorder="1" applyAlignment="1">
      <alignment horizontal="left" vertical="center" wrapText="1"/>
    </xf>
    <xf numFmtId="0" fontId="47" fillId="27" borderId="1" xfId="0" applyFont="1" applyFill="1" applyBorder="1" applyAlignment="1">
      <alignment horizontal="center" vertical="center" wrapText="1"/>
    </xf>
    <xf numFmtId="164" fontId="58" fillId="27" borderId="1" xfId="0" applyNumberFormat="1" applyFont="1" applyFill="1" applyBorder="1" applyAlignment="1">
      <alignment horizontal="center" vertical="center" wrapText="1"/>
    </xf>
    <xf numFmtId="164" fontId="58" fillId="24" borderId="1" xfId="0" applyNumberFormat="1" applyFont="1" applyFill="1" applyBorder="1" applyAlignment="1">
      <alignment horizontal="center" vertical="center" wrapText="1"/>
    </xf>
    <xf numFmtId="0" fontId="45" fillId="28" borderId="1" xfId="0" applyFont="1" applyFill="1" applyBorder="1" applyAlignment="1">
      <alignment horizontal="center" vertical="center" wrapText="1"/>
    </xf>
    <xf numFmtId="0" fontId="46" fillId="28" borderId="1" xfId="0" applyFont="1" applyFill="1" applyBorder="1" applyAlignment="1">
      <alignment horizontal="left" vertical="center" wrapText="1"/>
    </xf>
    <xf numFmtId="0" fontId="49" fillId="28" borderId="1" xfId="0" applyFont="1" applyFill="1" applyBorder="1" applyAlignment="1">
      <alignment horizontal="center" vertical="center" wrapText="1"/>
    </xf>
    <xf numFmtId="0" fontId="45" fillId="28" borderId="1" xfId="0" applyFont="1" applyFill="1" applyBorder="1" applyAlignment="1">
      <alignment horizontal="left" vertical="center" wrapText="1"/>
    </xf>
    <xf numFmtId="0" fontId="47" fillId="28" borderId="1" xfId="0" applyFont="1" applyFill="1" applyBorder="1" applyAlignment="1">
      <alignment horizontal="center" vertical="center" wrapText="1"/>
    </xf>
    <xf numFmtId="164" fontId="58" fillId="28" borderId="1" xfId="0" applyNumberFormat="1" applyFont="1" applyFill="1" applyBorder="1" applyAlignment="1">
      <alignment horizontal="center" vertical="center" wrapText="1"/>
    </xf>
    <xf numFmtId="0" fontId="57" fillId="26" borderId="1" xfId="0" applyFont="1" applyFill="1" applyBorder="1" applyAlignment="1">
      <alignment horizontal="left" vertical="center"/>
    </xf>
    <xf numFmtId="0" fontId="0" fillId="26" borderId="1" xfId="0" applyFill="1" applyBorder="1"/>
    <xf numFmtId="164" fontId="59" fillId="26" borderId="1" xfId="0" applyNumberFormat="1" applyFont="1" applyFill="1" applyBorder="1" applyAlignment="1">
      <alignment horizontal="center" vertical="center"/>
    </xf>
    <xf numFmtId="0" fontId="45" fillId="29" borderId="1" xfId="0" applyFont="1" applyFill="1" applyBorder="1" applyAlignment="1">
      <alignment horizontal="center" vertical="center" wrapText="1"/>
    </xf>
    <xf numFmtId="0" fontId="46" fillId="29" borderId="1" xfId="0" applyFont="1" applyFill="1" applyBorder="1" applyAlignment="1">
      <alignment horizontal="left" vertical="center" wrapText="1"/>
    </xf>
    <xf numFmtId="0" fontId="48" fillId="29" borderId="1" xfId="0" applyFont="1" applyFill="1" applyBorder="1" applyAlignment="1">
      <alignment horizontal="center" vertical="center" wrapText="1"/>
    </xf>
    <xf numFmtId="0" fontId="45" fillId="29" borderId="1" xfId="0" applyFont="1" applyFill="1" applyBorder="1" applyAlignment="1">
      <alignment horizontal="left" vertical="center" wrapText="1"/>
    </xf>
    <xf numFmtId="0" fontId="47" fillId="29" borderId="1" xfId="0" applyFont="1" applyFill="1" applyBorder="1" applyAlignment="1">
      <alignment horizontal="center" vertical="center" wrapText="1"/>
    </xf>
    <xf numFmtId="164" fontId="58" fillId="29" borderId="1" xfId="0" applyNumberFormat="1" applyFont="1" applyFill="1" applyBorder="1" applyAlignment="1">
      <alignment horizontal="center" vertical="center" wrapText="1"/>
    </xf>
    <xf numFmtId="0" fontId="2" fillId="30" borderId="0" xfId="0" applyFont="1" applyFill="1" applyAlignment="1">
      <alignment horizontal="left" vertical="center"/>
    </xf>
    <xf numFmtId="0" fontId="2" fillId="30" borderId="0" xfId="0" applyFont="1" applyFill="1" applyAlignment="1">
      <alignment horizontal="center" vertical="center"/>
    </xf>
    <xf numFmtId="0" fontId="34" fillId="30" borderId="1" xfId="0" applyFont="1" applyFill="1" applyBorder="1" applyAlignment="1">
      <alignment horizontal="center" vertical="center" wrapText="1"/>
    </xf>
    <xf numFmtId="0" fontId="45" fillId="14" borderId="1" xfId="0" applyFont="1" applyFill="1" applyBorder="1" applyAlignment="1">
      <alignment horizontal="center" vertical="center" wrapText="1"/>
    </xf>
    <xf numFmtId="0" fontId="46" fillId="14" borderId="1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center" vertical="center" wrapText="1"/>
    </xf>
    <xf numFmtId="0" fontId="45" fillId="14" borderId="1" xfId="0" applyFont="1" applyFill="1" applyBorder="1" applyAlignment="1">
      <alignment horizontal="left" vertical="center" wrapText="1"/>
    </xf>
    <xf numFmtId="0" fontId="47" fillId="14" borderId="1" xfId="0" applyFont="1" applyFill="1" applyBorder="1" applyAlignment="1">
      <alignment horizontal="center" vertical="center" wrapText="1"/>
    </xf>
    <xf numFmtId="164" fontId="58" fillId="14" borderId="1" xfId="0" applyNumberFormat="1" applyFont="1" applyFill="1" applyBorder="1" applyAlignment="1">
      <alignment horizontal="center" vertical="center" wrapText="1"/>
    </xf>
    <xf numFmtId="0" fontId="49" fillId="14" borderId="1" xfId="0" applyFont="1" applyFill="1" applyBorder="1" applyAlignment="1">
      <alignment horizontal="center" vertical="center" wrapText="1"/>
    </xf>
    <xf numFmtId="0" fontId="60" fillId="18" borderId="1" xfId="0" applyFont="1" applyFill="1" applyBorder="1" applyAlignment="1">
      <alignment horizontal="center" vertical="center" wrapText="1"/>
    </xf>
    <xf numFmtId="164" fontId="58" fillId="18" borderId="1" xfId="0" applyNumberFormat="1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6" fillId="11" borderId="1" xfId="0" applyFont="1" applyFill="1" applyBorder="1" applyAlignment="1">
      <alignment horizontal="left" vertical="center" wrapText="1"/>
    </xf>
    <xf numFmtId="0" fontId="60" fillId="11" borderId="1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left" vertical="center" wrapText="1"/>
    </xf>
    <xf numFmtId="0" fontId="50" fillId="11" borderId="1" xfId="0" applyFont="1" applyFill="1" applyBorder="1" applyAlignment="1">
      <alignment horizontal="center" vertical="center" wrapText="1"/>
    </xf>
    <xf numFmtId="164" fontId="50" fillId="11" borderId="1" xfId="0" applyNumberFormat="1" applyFont="1" applyFill="1" applyBorder="1" applyAlignment="1">
      <alignment horizontal="center" vertical="center" wrapText="1"/>
    </xf>
    <xf numFmtId="0" fontId="61" fillId="11" borderId="1" xfId="0" applyFont="1" applyFill="1" applyBorder="1" applyAlignment="1">
      <alignment horizontal="left" vertical="center" wrapText="1"/>
    </xf>
    <xf numFmtId="0" fontId="57" fillId="30" borderId="1" xfId="0" applyFont="1" applyFill="1" applyBorder="1" applyAlignment="1">
      <alignment horizontal="left" vertical="center"/>
    </xf>
    <xf numFmtId="0" fontId="0" fillId="30" borderId="1" xfId="0" applyFill="1" applyBorder="1"/>
    <xf numFmtId="164" fontId="59" fillId="30" borderId="1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/>
    <xf numFmtId="0" fontId="64" fillId="0" borderId="0" xfId="0" applyFont="1"/>
    <xf numFmtId="0" fontId="13" fillId="31" borderId="1" xfId="0" applyFont="1" applyFill="1" applyBorder="1" applyAlignment="1">
      <alignment horizontal="left" vertical="center"/>
    </xf>
    <xf numFmtId="0" fontId="13" fillId="31" borderId="1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 wrapText="1"/>
    </xf>
    <xf numFmtId="0" fontId="17" fillId="32" borderId="1" xfId="0" applyFont="1" applyFill="1" applyBorder="1" applyAlignment="1">
      <alignment horizontal="center" vertical="center" wrapText="1"/>
    </xf>
    <xf numFmtId="0" fontId="16" fillId="32" borderId="1" xfId="0" applyFont="1" applyFill="1" applyBorder="1" applyAlignment="1">
      <alignment horizontal="left" vertical="center" wrapText="1"/>
    </xf>
    <xf numFmtId="0" fontId="65" fillId="32" borderId="1" xfId="0" applyFont="1" applyFill="1" applyBorder="1" applyAlignment="1">
      <alignment horizontal="center" vertical="center" wrapText="1"/>
    </xf>
    <xf numFmtId="0" fontId="66" fillId="32" borderId="1" xfId="0" applyFont="1" applyFill="1" applyBorder="1" applyAlignment="1">
      <alignment horizontal="center" vertical="center" wrapText="1"/>
    </xf>
    <xf numFmtId="164" fontId="66" fillId="32" borderId="1" xfId="0" applyNumberFormat="1" applyFont="1" applyFill="1" applyBorder="1" applyAlignment="1">
      <alignment horizontal="right" vertical="center" wrapText="1"/>
    </xf>
    <xf numFmtId="164" fontId="17" fillId="32" borderId="1" xfId="0" applyNumberFormat="1" applyFont="1" applyFill="1" applyBorder="1" applyAlignment="1">
      <alignment horizontal="right" vertical="center" wrapText="1"/>
    </xf>
    <xf numFmtId="0" fontId="19" fillId="32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right" vertical="center" wrapText="1"/>
    </xf>
    <xf numFmtId="0" fontId="17" fillId="3" borderId="1" xfId="0" applyFont="1" applyFill="1" applyBorder="1" applyAlignment="1">
      <alignment horizontal="center" vertical="center" wrapText="1"/>
    </xf>
    <xf numFmtId="164" fontId="17" fillId="3" borderId="1" xfId="0" applyNumberFormat="1" applyFont="1" applyFill="1" applyBorder="1" applyAlignment="1">
      <alignment horizontal="right" vertical="center" wrapText="1"/>
    </xf>
    <xf numFmtId="0" fontId="68" fillId="3" borderId="1" xfId="0" applyFont="1" applyFill="1" applyBorder="1" applyAlignment="1">
      <alignment horizontal="left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164" fontId="69" fillId="11" borderId="1" xfId="0" applyNumberFormat="1" applyFont="1" applyFill="1" applyBorder="1" applyAlignment="1">
      <alignment horizontal="right" vertical="center" wrapText="1"/>
    </xf>
    <xf numFmtId="0" fontId="68" fillId="11" borderId="1" xfId="0" applyFont="1" applyFill="1" applyBorder="1" applyAlignment="1">
      <alignment horizontal="left" vertical="center" wrapText="1"/>
    </xf>
    <xf numFmtId="0" fontId="0" fillId="31" borderId="1" xfId="0" applyFill="1" applyBorder="1"/>
    <xf numFmtId="0" fontId="15" fillId="31" borderId="1" xfId="0" applyFont="1" applyFill="1" applyBorder="1" applyAlignment="1">
      <alignment horizontal="left" vertical="center" wrapText="1"/>
    </xf>
    <xf numFmtId="164" fontId="15" fillId="31" borderId="1" xfId="0" applyNumberFormat="1" applyFont="1" applyFill="1" applyBorder="1" applyAlignment="1">
      <alignment horizontal="right" vertical="center" wrapText="1"/>
    </xf>
    <xf numFmtId="0" fontId="70" fillId="6" borderId="1" xfId="0" applyFont="1" applyFill="1" applyBorder="1" applyAlignment="1">
      <alignment horizontal="left" vertical="center" wrapText="1"/>
    </xf>
    <xf numFmtId="164" fontId="70" fillId="6" borderId="1" xfId="0" applyNumberFormat="1" applyFont="1" applyFill="1" applyBorder="1" applyAlignment="1">
      <alignment horizontal="right" vertical="center" wrapText="1"/>
    </xf>
    <xf numFmtId="0" fontId="71" fillId="0" borderId="1" xfId="0" applyFont="1" applyBorder="1" applyAlignment="1">
      <alignment horizontal="left" vertical="center" wrapText="1"/>
    </xf>
    <xf numFmtId="0" fontId="72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0" fontId="13" fillId="33" borderId="1" xfId="0" applyFont="1" applyFill="1" applyBorder="1" applyAlignment="1">
      <alignment horizontal="left" vertical="center"/>
    </xf>
    <xf numFmtId="0" fontId="13" fillId="33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center" vertical="center" wrapText="1"/>
    </xf>
    <xf numFmtId="0" fontId="17" fillId="34" borderId="1" xfId="0" applyFont="1" applyFill="1" applyBorder="1" applyAlignment="1">
      <alignment horizontal="center" vertical="center" wrapText="1"/>
    </xf>
    <xf numFmtId="0" fontId="16" fillId="34" borderId="1" xfId="0" applyFont="1" applyFill="1" applyBorder="1" applyAlignment="1">
      <alignment horizontal="left" vertical="center" wrapText="1"/>
    </xf>
    <xf numFmtId="0" fontId="75" fillId="34" borderId="1" xfId="0" applyFont="1" applyFill="1" applyBorder="1" applyAlignment="1">
      <alignment horizontal="center" vertical="center" wrapText="1"/>
    </xf>
    <xf numFmtId="0" fontId="66" fillId="34" borderId="1" xfId="0" applyFont="1" applyFill="1" applyBorder="1" applyAlignment="1">
      <alignment horizontal="center" vertical="center" wrapText="1"/>
    </xf>
    <xf numFmtId="164" fontId="66" fillId="34" borderId="1" xfId="0" applyNumberFormat="1" applyFont="1" applyFill="1" applyBorder="1" applyAlignment="1">
      <alignment horizontal="right" vertical="center" wrapText="1"/>
    </xf>
    <xf numFmtId="164" fontId="17" fillId="34" borderId="1" xfId="0" applyNumberFormat="1" applyFont="1" applyFill="1" applyBorder="1" applyAlignment="1">
      <alignment horizontal="right" vertical="center" wrapText="1"/>
    </xf>
    <xf numFmtId="0" fontId="19" fillId="34" borderId="1" xfId="0" applyFont="1" applyFill="1" applyBorder="1" applyAlignment="1">
      <alignment horizontal="left" vertical="center" wrapText="1"/>
    </xf>
    <xf numFmtId="0" fontId="68" fillId="4" borderId="1" xfId="0" applyFont="1" applyFill="1" applyBorder="1" applyAlignment="1">
      <alignment horizontal="left" vertical="center" wrapText="1"/>
    </xf>
    <xf numFmtId="0" fontId="66" fillId="4" borderId="1" xfId="0" applyFont="1" applyFill="1" applyBorder="1" applyAlignment="1">
      <alignment horizontal="left" vertical="center" wrapText="1"/>
    </xf>
    <xf numFmtId="0" fontId="0" fillId="33" borderId="1" xfId="0" applyFill="1" applyBorder="1"/>
    <xf numFmtId="0" fontId="15" fillId="33" borderId="1" xfId="0" applyFont="1" applyFill="1" applyBorder="1" applyAlignment="1">
      <alignment horizontal="left" vertical="center" wrapText="1"/>
    </xf>
    <xf numFmtId="164" fontId="15" fillId="33" borderId="1" xfId="0" applyNumberFormat="1" applyFont="1" applyFill="1" applyBorder="1" applyAlignment="1">
      <alignment horizontal="right" vertical="center" wrapText="1"/>
    </xf>
    <xf numFmtId="0" fontId="58" fillId="3" borderId="1" xfId="0" applyFont="1" applyFill="1" applyBorder="1" applyAlignment="1">
      <alignment horizontal="left" vertical="center" wrapText="1"/>
    </xf>
    <xf numFmtId="0" fontId="58" fillId="4" borderId="1" xfId="0" applyFont="1" applyFill="1" applyBorder="1" applyAlignment="1">
      <alignment horizontal="left" vertical="center" wrapText="1"/>
    </xf>
    <xf numFmtId="164" fontId="68" fillId="4" borderId="1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4" fontId="68" fillId="3" borderId="1" xfId="0" applyNumberFormat="1" applyFont="1" applyFill="1" applyBorder="1" applyAlignment="1">
      <alignment horizontal="center" vertical="center" wrapText="1"/>
    </xf>
    <xf numFmtId="0" fontId="6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77" fillId="4" borderId="1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left" vertical="center" wrapText="1"/>
    </xf>
    <xf numFmtId="0" fontId="15" fillId="23" borderId="1" xfId="0" applyFont="1" applyFill="1" applyBorder="1" applyAlignment="1">
      <alignment horizontal="center" vertical="center" wrapText="1"/>
    </xf>
    <xf numFmtId="0" fontId="55" fillId="24" borderId="1" xfId="0" applyFont="1" applyFill="1" applyBorder="1" applyAlignment="1">
      <alignment horizontal="left" vertical="center" wrapText="1"/>
    </xf>
    <xf numFmtId="0" fontId="78" fillId="24" borderId="1" xfId="0" applyFont="1" applyFill="1" applyBorder="1" applyAlignment="1">
      <alignment horizontal="center" vertical="center" wrapText="1"/>
    </xf>
    <xf numFmtId="164" fontId="19" fillId="24" borderId="1" xfId="0" applyNumberFormat="1" applyFont="1" applyFill="1" applyBorder="1" applyAlignment="1">
      <alignment horizontal="right" vertical="center" wrapText="1"/>
    </xf>
    <xf numFmtId="164" fontId="55" fillId="24" borderId="1" xfId="0" applyNumberFormat="1" applyFont="1" applyFill="1" applyBorder="1" applyAlignment="1">
      <alignment horizontal="right" vertical="center" wrapText="1"/>
    </xf>
    <xf numFmtId="0" fontId="55" fillId="18" borderId="1" xfId="0" applyFont="1" applyFill="1" applyBorder="1" applyAlignment="1">
      <alignment horizontal="left" vertical="center" wrapText="1"/>
    </xf>
    <xf numFmtId="0" fontId="78" fillId="18" borderId="1" xfId="0" applyFont="1" applyFill="1" applyBorder="1" applyAlignment="1">
      <alignment horizontal="center" vertical="center" wrapText="1"/>
    </xf>
    <xf numFmtId="164" fontId="19" fillId="18" borderId="1" xfId="0" applyNumberFormat="1" applyFont="1" applyFill="1" applyBorder="1" applyAlignment="1">
      <alignment horizontal="right" vertical="center" wrapText="1"/>
    </xf>
    <xf numFmtId="164" fontId="55" fillId="18" borderId="1" xfId="0" applyNumberFormat="1" applyFont="1" applyFill="1" applyBorder="1" applyAlignment="1">
      <alignment horizontal="right" vertical="center" wrapText="1"/>
    </xf>
    <xf numFmtId="0" fontId="15" fillId="23" borderId="1" xfId="0" applyFont="1" applyFill="1" applyBorder="1" applyAlignment="1">
      <alignment horizontal="left" vertical="center" wrapText="1"/>
    </xf>
    <xf numFmtId="164" fontId="79" fillId="23" borderId="1" xfId="0" applyNumberFormat="1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80" fillId="2" borderId="1" xfId="0" applyFont="1" applyFill="1" applyBorder="1" applyAlignment="1">
      <alignment horizontal="left" vertical="center" wrapText="1"/>
    </xf>
    <xf numFmtId="0" fontId="15" fillId="26" borderId="1" xfId="0" applyFont="1" applyFill="1" applyBorder="1" applyAlignment="1">
      <alignment horizontal="center" vertical="center" wrapText="1"/>
    </xf>
    <xf numFmtId="0" fontId="55" fillId="3" borderId="1" xfId="0" applyFont="1" applyFill="1" applyBorder="1" applyAlignment="1">
      <alignment horizontal="left" vertical="center" wrapText="1"/>
    </xf>
    <xf numFmtId="164" fontId="19" fillId="3" borderId="1" xfId="0" applyNumberFormat="1" applyFont="1" applyFill="1" applyBorder="1" applyAlignment="1">
      <alignment horizontal="right" vertical="center" wrapText="1"/>
    </xf>
    <xf numFmtId="0" fontId="55" fillId="4" borderId="1" xfId="0" applyFont="1" applyFill="1" applyBorder="1" applyAlignment="1">
      <alignment horizontal="left" vertical="center" wrapText="1"/>
    </xf>
    <xf numFmtId="164" fontId="19" fillId="4" borderId="1" xfId="0" applyNumberFormat="1" applyFont="1" applyFill="1" applyBorder="1" applyAlignment="1">
      <alignment horizontal="right" vertical="center" wrapText="1"/>
    </xf>
    <xf numFmtId="0" fontId="15" fillId="26" borderId="1" xfId="0" applyFont="1" applyFill="1" applyBorder="1" applyAlignment="1">
      <alignment horizontal="left" vertical="center" wrapText="1"/>
    </xf>
    <xf numFmtId="164" fontId="79" fillId="26" borderId="1" xfId="0" applyNumberFormat="1" applyFont="1" applyFill="1" applyBorder="1" applyAlignment="1">
      <alignment horizontal="right" vertical="center" wrapText="1"/>
    </xf>
    <xf numFmtId="0" fontId="81" fillId="3" borderId="1" xfId="0" applyFont="1" applyFill="1" applyBorder="1" applyAlignment="1">
      <alignment horizontal="left" vertical="center" wrapText="1"/>
    </xf>
    <xf numFmtId="164" fontId="68" fillId="3" borderId="1" xfId="0" applyNumberFormat="1" applyFont="1" applyFill="1" applyBorder="1" applyAlignment="1">
      <alignment horizontal="right" vertical="center" wrapText="1"/>
    </xf>
    <xf numFmtId="0" fontId="81" fillId="4" borderId="1" xfId="0" applyFont="1" applyFill="1" applyBorder="1" applyAlignment="1">
      <alignment horizontal="left" vertical="center" wrapText="1"/>
    </xf>
    <xf numFmtId="164" fontId="68" fillId="4" borderId="1" xfId="0" applyNumberFormat="1" applyFont="1" applyFill="1" applyBorder="1" applyAlignment="1">
      <alignment horizontal="right" vertical="center" wrapText="1"/>
    </xf>
    <xf numFmtId="0" fontId="15" fillId="2" borderId="1" xfId="0" applyFont="1" applyFill="1" applyBorder="1" applyAlignment="1">
      <alignment horizontal="left" vertical="center" wrapText="1"/>
    </xf>
    <xf numFmtId="164" fontId="79" fillId="2" borderId="1" xfId="0" applyNumberFormat="1" applyFont="1" applyFill="1" applyBorder="1" applyAlignment="1">
      <alignment horizontal="right" vertical="center" wrapText="1"/>
    </xf>
    <xf numFmtId="0" fontId="82" fillId="0" borderId="1" xfId="0" applyFont="1" applyBorder="1" applyAlignment="1">
      <alignment horizontal="left" vertical="center" wrapText="1"/>
    </xf>
    <xf numFmtId="0" fontId="2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  <xf numFmtId="0" fontId="83" fillId="4" borderId="1" xfId="0" applyFont="1" applyFill="1" applyBorder="1" applyAlignment="1">
      <alignment horizontal="center" vertical="center" wrapText="1"/>
    </xf>
    <xf numFmtId="164" fontId="48" fillId="4" borderId="1" xfId="0" applyNumberFormat="1" applyFont="1" applyFill="1" applyBorder="1" applyAlignment="1">
      <alignment horizontal="center" vertical="center" wrapText="1"/>
    </xf>
    <xf numFmtId="164" fontId="81" fillId="4" borderId="1" xfId="0" applyNumberFormat="1" applyFont="1" applyFill="1" applyBorder="1" applyAlignment="1">
      <alignment horizontal="center" vertical="center" wrapText="1"/>
    </xf>
    <xf numFmtId="0" fontId="83" fillId="3" borderId="1" xfId="0" applyFont="1" applyFill="1" applyBorder="1" applyAlignment="1">
      <alignment horizontal="center" vertical="center" wrapText="1"/>
    </xf>
    <xf numFmtId="164" fontId="48" fillId="3" borderId="1" xfId="0" applyNumberFormat="1" applyFont="1" applyFill="1" applyBorder="1" applyAlignment="1">
      <alignment horizontal="center" vertical="center" wrapText="1"/>
    </xf>
    <xf numFmtId="164" fontId="81" fillId="3" borderId="1" xfId="0" applyNumberFormat="1" applyFont="1" applyFill="1" applyBorder="1" applyAlignment="1">
      <alignment horizontal="center" vertical="center" wrapText="1"/>
    </xf>
    <xf numFmtId="0" fontId="83" fillId="21" borderId="1" xfId="0" applyFont="1" applyFill="1" applyBorder="1" applyAlignment="1">
      <alignment horizontal="center" vertical="center" wrapText="1"/>
    </xf>
    <xf numFmtId="164" fontId="48" fillId="21" borderId="1" xfId="0" applyNumberFormat="1" applyFont="1" applyFill="1" applyBorder="1" applyAlignment="1">
      <alignment horizontal="center" vertical="center" wrapText="1"/>
    </xf>
    <xf numFmtId="164" fontId="81" fillId="21" borderId="1" xfId="0" applyNumberFormat="1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left" vertical="center" wrapText="1"/>
    </xf>
    <xf numFmtId="0" fontId="83" fillId="24" borderId="1" xfId="0" applyFont="1" applyFill="1" applyBorder="1" applyAlignment="1">
      <alignment horizontal="center" vertical="center" wrapText="1"/>
    </xf>
    <xf numFmtId="164" fontId="49" fillId="24" borderId="1" xfId="0" applyNumberFormat="1" applyFont="1" applyFill="1" applyBorder="1" applyAlignment="1">
      <alignment horizontal="center" vertical="center" wrapText="1"/>
    </xf>
    <xf numFmtId="164" fontId="81" fillId="24" borderId="1" xfId="0" applyNumberFormat="1" applyFont="1" applyFill="1" applyBorder="1" applyAlignment="1">
      <alignment horizontal="center" vertical="center" wrapText="1"/>
    </xf>
    <xf numFmtId="164" fontId="37" fillId="24" borderId="1" xfId="0" applyNumberFormat="1" applyFont="1" applyFill="1" applyBorder="1" applyAlignment="1">
      <alignment horizontal="center" vertical="center" wrapText="1"/>
    </xf>
    <xf numFmtId="0" fontId="57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164" fontId="57" fillId="13" borderId="1" xfId="0" applyNumberFormat="1" applyFont="1" applyFill="1" applyBorder="1" applyAlignment="1">
      <alignment horizontal="center" vertical="center"/>
    </xf>
    <xf numFmtId="0" fontId="32" fillId="0" borderId="0" xfId="0" applyFont="1"/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left" vertical="center" wrapText="1"/>
    </xf>
    <xf numFmtId="0" fontId="18" fillId="12" borderId="3" xfId="0" applyFont="1" applyFill="1" applyBorder="1" applyAlignment="1">
      <alignment horizontal="center" vertical="center" wrapText="1"/>
    </xf>
    <xf numFmtId="0" fontId="18" fillId="12" borderId="3" xfId="0" applyFont="1" applyFill="1" applyBorder="1" applyAlignment="1">
      <alignment horizontal="left" vertical="center" wrapText="1"/>
    </xf>
    <xf numFmtId="164" fontId="18" fillId="12" borderId="3" xfId="0" applyNumberFormat="1" applyFont="1" applyFill="1" applyBorder="1" applyAlignment="1">
      <alignment horizontal="left" vertical="center" wrapText="1"/>
    </xf>
    <xf numFmtId="164" fontId="18" fillId="10" borderId="3" xfId="0" applyNumberFormat="1" applyFont="1" applyFill="1" applyBorder="1" applyAlignment="1">
      <alignment horizontal="left" vertical="center" wrapText="1"/>
    </xf>
    <xf numFmtId="0" fontId="32" fillId="12" borderId="0" xfId="0" applyFont="1" applyFill="1"/>
    <xf numFmtId="0" fontId="37" fillId="12" borderId="0" xfId="0" applyFont="1" applyFill="1"/>
    <xf numFmtId="0" fontId="0" fillId="12" borderId="0" xfId="0" applyFill="1"/>
    <xf numFmtId="164" fontId="37" fillId="35" borderId="0" xfId="0" applyNumberFormat="1" applyFont="1" applyFill="1"/>
    <xf numFmtId="164" fontId="37" fillId="12" borderId="0" xfId="0" applyNumberFormat="1" applyFont="1" applyFill="1"/>
    <xf numFmtId="0" fontId="30" fillId="12" borderId="0" xfId="0" applyFont="1" applyFill="1"/>
    <xf numFmtId="0" fontId="0" fillId="10" borderId="0" xfId="0" applyFill="1"/>
    <xf numFmtId="0" fontId="37" fillId="10" borderId="0" xfId="0" applyFont="1" applyFill="1"/>
    <xf numFmtId="164" fontId="37" fillId="10" borderId="0" xfId="0" applyNumberFormat="1" applyFont="1" applyFill="1"/>
    <xf numFmtId="0" fontId="30" fillId="10" borderId="0" xfId="0" applyFont="1" applyFill="1"/>
    <xf numFmtId="3" fontId="0" fillId="0" borderId="0" xfId="0" applyNumberFormat="1"/>
    <xf numFmtId="10" fontId="64" fillId="0" borderId="0" xfId="0" applyNumberFormat="1" applyFont="1"/>
    <xf numFmtId="0" fontId="84" fillId="0" borderId="0" xfId="0" applyFont="1"/>
    <xf numFmtId="0" fontId="31" fillId="9" borderId="0" xfId="0" applyFont="1" applyFill="1"/>
    <xf numFmtId="0" fontId="29" fillId="0" borderId="0" xfId="0" applyFont="1"/>
    <xf numFmtId="0" fontId="30" fillId="0" borderId="0" xfId="0" applyFont="1"/>
    <xf numFmtId="0" fontId="65" fillId="0" borderId="4" xfId="0" applyFont="1" applyBorder="1" applyAlignment="1">
      <alignment horizontal="center" vertical="center" wrapText="1"/>
    </xf>
    <xf numFmtId="0" fontId="67" fillId="0" borderId="5" xfId="0" applyFont="1" applyBorder="1" applyAlignment="1">
      <alignment horizontal="center" vertical="center" wrapText="1"/>
    </xf>
    <xf numFmtId="0" fontId="74" fillId="0" borderId="4" xfId="0" applyFont="1" applyBorder="1" applyAlignment="1">
      <alignment horizontal="center" vertical="center" wrapText="1"/>
    </xf>
    <xf numFmtId="0" fontId="76" fillId="0" borderId="5" xfId="0" applyFont="1" applyBorder="1" applyAlignment="1">
      <alignment horizontal="center" vertical="center" wrapText="1"/>
    </xf>
    <xf numFmtId="0" fontId="18" fillId="0" borderId="0" xfId="0" applyFont="1"/>
  </cellXfs>
  <cellStyles count="4">
    <cellStyle name="Currency" xfId="1" builtinId="4"/>
    <cellStyle name="Hyperlink" xfId="2" builtinId="8"/>
    <cellStyle name="Normal" xfId="0" builtinId="0"/>
    <cellStyle name="Normal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CE4D6"/>
      <rgbColor rgb="FFFF00FF"/>
      <rgbColor rgb="FFE2F0DB"/>
      <rgbColor rgb="FF8B0000"/>
      <rgbColor rgb="FF008000"/>
      <rgbColor rgb="FF000080"/>
      <rgbColor rgb="FFE7E6E6"/>
      <rgbColor rgb="FF800080"/>
      <rgbColor rgb="FF0D6E6E"/>
      <rgbColor rgb="FFBFBFBF"/>
      <rgbColor rgb="FF808080"/>
      <rgbColor rgb="FFD9E1F2"/>
      <rgbColor rgb="FF7B2D8B"/>
      <rgbColor rgb="FFFFF2CC"/>
      <rgbColor rgb="FFD6EAF8"/>
      <rgbColor rgb="FF5B2C6F"/>
      <rgbColor rgb="FFFADBD8"/>
      <rgbColor rgb="FF0066CC"/>
      <rgbColor rgb="FFCCCCCC"/>
      <rgbColor rgb="FF000080"/>
      <rgbColor rgb="FFFF00FF"/>
      <rgbColor rgb="FFE2EFDA"/>
      <rgbColor rgb="FFEBF6FF"/>
      <rgbColor rgb="FF800080"/>
      <rgbColor rgb="FFC00000"/>
      <rgbColor rgb="FF008080"/>
      <rgbColor rgb="FF0000FF"/>
      <rgbColor rgb="FFEBF5FF"/>
      <rgbColor rgb="FFDDEBF7"/>
      <rgbColor rgb="FFD5F5E3"/>
      <rgbColor rgb="FFFFE699"/>
      <rgbColor rgb="FFB7DEE8"/>
      <rgbColor rgb="FFEBD1DD"/>
      <rgbColor rgb="FFEAD1DC"/>
      <rgbColor rgb="FFFFE4B5"/>
      <rgbColor rgb="FF2E75B6"/>
      <rgbColor rgb="FFD4E6F1"/>
      <rgbColor rgb="FFC6EFCE"/>
      <rgbColor rgb="FFD7E4BD"/>
      <rgbColor rgb="FFBF8F00"/>
      <rgbColor rgb="FFD35400"/>
      <rgbColor rgb="FF555555"/>
      <rgbColor rgb="FFD5E3F0"/>
      <rgbColor rgb="FF1F3864"/>
      <rgbColor rgb="FFD6E4F0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677160</xdr:colOff>
      <xdr:row>22</xdr:row>
      <xdr:rowOff>63360</xdr:rowOff>
    </xdr:from>
    <xdr:to>
      <xdr:col>6</xdr:col>
      <xdr:colOff>2997360</xdr:colOff>
      <xdr:row>47</xdr:row>
      <xdr:rowOff>100441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889120" y="7445160"/>
          <a:ext cx="4152600" cy="42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84600</xdr:rowOff>
    </xdr:from>
    <xdr:to>
      <xdr:col>6</xdr:col>
      <xdr:colOff>421920</xdr:colOff>
      <xdr:row>32</xdr:row>
      <xdr:rowOff>4320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103760"/>
          <a:ext cx="8539200" cy="6091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2273400</xdr:colOff>
      <xdr:row>3</xdr:row>
      <xdr:rowOff>25560</xdr:rowOff>
    </xdr:from>
    <xdr:to>
      <xdr:col>29</xdr:col>
      <xdr:colOff>138960</xdr:colOff>
      <xdr:row>80</xdr:row>
      <xdr:rowOff>75600</xdr:rowOff>
    </xdr:to>
    <xdr:pic>
      <xdr:nvPicPr>
        <xdr:cNvPr id="3" name="Picture 2" descr="AWS Cloud - Hyderabad (ap-south-2) &#10;Core hospital domain (existing) &#10;PACS imaging domain (new) &#10;RAINDC03 / RAINDC02 &#10;Trust &#10;AWS Managed Microsoft AD &#10;rainbow.local - no changes &#10;imaging.rainbow.local &#10;1 &#10;Standard - $134/mo &#10;&gt; &#10;HIS &#10;SAP &#10;Clinical &#10;Arcus Air &#10;PI / HANA &#10;BB, Bio, IVF &#10;PACS server &#10;FSX (PACS) &#10;DICOM archive &#10;Imaging storage &#10;Mobile, MRD, RPA &#10;vCISO, Syslog &#10;DICOM viewers, radiology stations &#10;Route 53 Resolver &#10;FSx (file shares) &#10;RSAT mgmt &#10;Forwards both domains &#10;12 TB - rainbow.local &#10;PACS AD admin &#10;User flow: radiologist (rainbow.local) &gt; trust &gt; PACS (imaging.rainbow.local) &#10;Single sign-on via cross-forest trust - no separate PACS login needed &#10;HL7 messages: PACS «&gt; Mirth Connect (HL7 broker on HMS) &lt;&gt; HIS (Arcus Air) - network level, no AD dependency &#10;1 &#10;MPLS / VPN &#10;S2S VPN &#10;25 branch offices &#10;Auth &gt; RAINDC03/02 &#10;CtrlS datacenter &#10;Files &gt; FSx (rainbow.local) &#10;Trust with rainbow.local &#10;PACS -&gt; via trust (SSO) &#10;Unchanged &#10;Dual AD replication &#10;- - &#10;AWS Mumbai (ap-south-1) - DR &#10;RAINDC03 DR (self-managed) + Managed AD replica (native) + FSx DR &#10;- Cross-forest trust &#10;- PACS domain &#10;- Network &#10;- DNS &#10;- DR replication &#10;Data flow 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377440" y="625680"/>
          <a:ext cx="14218200" cy="17156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15205D4-C9AB-7D44-B58B-ABA55D88BCC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9fd986-3d6a-40a0-a5ae-a0dfccef620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alculator.aws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aws.amazon.com/marketplace/pp/prodview-3xtziatyes54i?sr=0-2&amp;ref_=beagle&amp;applicationId=AWSMPContessa" TargetMode="External"/><Relationship Id="rId2" Type="http://schemas.openxmlformats.org/officeDocument/2006/relationships/hyperlink" Target="https://www.mongodb.com/docs/atlas/reference/amazon-aws/" TargetMode="External"/><Relationship Id="rId1" Type="http://schemas.openxmlformats.org/officeDocument/2006/relationships/hyperlink" Target="https://www.mongodb.com/products/platform/atlas-cloud-providers/aws/pricing" TargetMode="External"/><Relationship Id="rId4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showGridLines="0" zoomScale="120" zoomScaleNormal="120" workbookViewId="0">
      <selection activeCell="B16" sqref="B16"/>
    </sheetView>
  </sheetViews>
  <sheetFormatPr baseColWidth="10" defaultColWidth="8.83203125" defaultRowHeight="15" x14ac:dyDescent="0.2"/>
  <cols>
    <col min="1" max="1" width="7.33203125" customWidth="1"/>
    <col min="2" max="2" width="84.83203125" customWidth="1"/>
    <col min="3" max="4" width="18" customWidth="1"/>
    <col min="5" max="5" width="45" customWidth="1"/>
  </cols>
  <sheetData>
    <row r="1" spans="1:5" ht="16.5" customHeight="1" x14ac:dyDescent="0.2">
      <c r="A1" s="2" t="s">
        <v>0</v>
      </c>
      <c r="B1" s="3"/>
      <c r="C1" s="3"/>
      <c r="D1" s="3"/>
      <c r="E1" s="3"/>
    </row>
    <row r="3" spans="1:5" ht="15.75" customHeight="1" x14ac:dyDescent="0.2">
      <c r="B3" s="4" t="s">
        <v>1</v>
      </c>
    </row>
    <row r="5" spans="1:5" ht="19.5" customHeight="1" x14ac:dyDescent="0.2">
      <c r="B5" s="5" t="s">
        <v>2</v>
      </c>
    </row>
    <row r="6" spans="1:5" ht="15.75" customHeight="1" x14ac:dyDescent="0.2">
      <c r="B6" s="6" t="s">
        <v>3</v>
      </c>
    </row>
    <row r="7" spans="1:5" ht="15.75" customHeight="1" x14ac:dyDescent="0.2">
      <c r="B7" s="7" t="s">
        <v>4</v>
      </c>
    </row>
    <row r="8" spans="1:5" ht="15.75" customHeight="1" x14ac:dyDescent="0.2">
      <c r="B8" s="6" t="s">
        <v>5</v>
      </c>
    </row>
    <row r="9" spans="1:5" ht="15.75" customHeight="1" x14ac:dyDescent="0.2">
      <c r="B9" s="6" t="s">
        <v>6</v>
      </c>
    </row>
    <row r="10" spans="1:5" ht="15.75" customHeight="1" x14ac:dyDescent="0.2">
      <c r="B10" s="7" t="s">
        <v>7</v>
      </c>
    </row>
    <row r="11" spans="1:5" ht="15.75" customHeight="1" x14ac:dyDescent="0.2">
      <c r="B11" s="6" t="s">
        <v>8</v>
      </c>
    </row>
    <row r="12" spans="1:5" ht="15.75" customHeight="1" x14ac:dyDescent="0.2">
      <c r="B12" s="6" t="s">
        <v>9</v>
      </c>
    </row>
    <row r="13" spans="1:5" ht="15.75" customHeight="1" x14ac:dyDescent="0.2">
      <c r="B13" s="6" t="s">
        <v>10</v>
      </c>
    </row>
    <row r="14" spans="1:5" ht="15.75" customHeight="1" x14ac:dyDescent="0.2">
      <c r="B14" s="6" t="s">
        <v>11</v>
      </c>
    </row>
    <row r="15" spans="1:5" ht="15.75" customHeight="1" x14ac:dyDescent="0.2">
      <c r="B15" s="6" t="s">
        <v>12</v>
      </c>
    </row>
    <row r="16" spans="1:5" ht="15.75" customHeight="1" x14ac:dyDescent="0.2">
      <c r="B16" s="6" t="s">
        <v>13</v>
      </c>
    </row>
    <row r="17" spans="2:2" ht="15.75" customHeight="1" x14ac:dyDescent="0.2">
      <c r="B17" s="6" t="s">
        <v>14</v>
      </c>
    </row>
    <row r="18" spans="2:2" ht="15.75" customHeight="1" x14ac:dyDescent="0.2">
      <c r="B18" s="8" t="s">
        <v>15</v>
      </c>
    </row>
    <row r="20" spans="2:2" ht="19.5" customHeight="1" x14ac:dyDescent="0.2">
      <c r="B20" s="9" t="s">
        <v>16</v>
      </c>
    </row>
    <row r="21" spans="2:2" ht="15.75" customHeight="1" x14ac:dyDescent="0.2">
      <c r="B21" s="7" t="s">
        <v>17</v>
      </c>
    </row>
    <row r="22" spans="2:2" ht="15.75" customHeight="1" x14ac:dyDescent="0.2">
      <c r="B22" s="7" t="s">
        <v>18</v>
      </c>
    </row>
    <row r="24" spans="2:2" ht="16.5" customHeight="1" x14ac:dyDescent="0.2">
      <c r="B24" s="10" t="s">
        <v>19</v>
      </c>
    </row>
    <row r="25" spans="2:2" ht="15.75" customHeight="1" x14ac:dyDescent="0.2">
      <c r="B25" s="11" t="s">
        <v>20</v>
      </c>
    </row>
    <row r="26" spans="2:2" ht="15.75" customHeight="1" x14ac:dyDescent="0.2">
      <c r="B26" s="11" t="s">
        <v>21</v>
      </c>
    </row>
    <row r="27" spans="2:2" ht="15.75" customHeight="1" x14ac:dyDescent="0.2">
      <c r="B27" s="11" t="s">
        <v>22</v>
      </c>
    </row>
    <row r="28" spans="2:2" ht="15.75" customHeight="1" x14ac:dyDescent="0.2">
      <c r="B28" s="11" t="s">
        <v>23</v>
      </c>
    </row>
    <row r="29" spans="2:2" ht="15.75" customHeight="1" x14ac:dyDescent="0.2">
      <c r="B29" s="11" t="s">
        <v>24</v>
      </c>
    </row>
    <row r="30" spans="2:2" ht="15.75" customHeight="1" x14ac:dyDescent="0.2">
      <c r="B30" s="11" t="s">
        <v>25</v>
      </c>
    </row>
    <row r="32" spans="2:2" ht="19.5" customHeight="1" x14ac:dyDescent="0.2">
      <c r="B32" s="12" t="s">
        <v>26</v>
      </c>
    </row>
    <row r="33" spans="2:2" ht="15.75" customHeight="1" x14ac:dyDescent="0.2">
      <c r="B33" s="6" t="s">
        <v>27</v>
      </c>
    </row>
    <row r="34" spans="2:2" ht="15.75" customHeight="1" x14ac:dyDescent="0.2">
      <c r="B34" s="6" t="s">
        <v>28</v>
      </c>
    </row>
    <row r="35" spans="2:2" ht="15.75" customHeight="1" x14ac:dyDescent="0.2">
      <c r="B35" s="6" t="s">
        <v>29</v>
      </c>
    </row>
    <row r="36" spans="2:2" ht="15.75" customHeight="1" x14ac:dyDescent="0.2">
      <c r="B36" s="6" t="s">
        <v>30</v>
      </c>
    </row>
    <row r="37" spans="2:2" ht="15.75" customHeight="1" x14ac:dyDescent="0.2">
      <c r="B37" s="6" t="s">
        <v>31</v>
      </c>
    </row>
    <row r="38" spans="2:2" ht="15.75" customHeight="1" x14ac:dyDescent="0.2">
      <c r="B38" s="6" t="s">
        <v>32</v>
      </c>
    </row>
    <row r="40" spans="2:2" ht="19.5" customHeight="1" x14ac:dyDescent="0.2">
      <c r="B40" s="12" t="s">
        <v>33</v>
      </c>
    </row>
    <row r="41" spans="2:2" ht="15.75" customHeight="1" x14ac:dyDescent="0.2">
      <c r="B41" s="11" t="s">
        <v>34</v>
      </c>
    </row>
    <row r="42" spans="2:2" ht="15.75" customHeight="1" x14ac:dyDescent="0.2">
      <c r="B42" s="11" t="s">
        <v>35</v>
      </c>
    </row>
    <row r="43" spans="2:2" ht="15.75" customHeight="1" x14ac:dyDescent="0.2">
      <c r="B43" s="11" t="s">
        <v>36</v>
      </c>
    </row>
    <row r="44" spans="2:2" ht="15.75" customHeight="1" x14ac:dyDescent="0.2">
      <c r="B44" s="11" t="s">
        <v>37</v>
      </c>
    </row>
    <row r="45" spans="2:2" ht="15.75" customHeight="1" x14ac:dyDescent="0.2">
      <c r="B45" s="11" t="s">
        <v>38</v>
      </c>
    </row>
    <row r="46" spans="2:2" ht="15.75" customHeight="1" x14ac:dyDescent="0.2">
      <c r="B46" s="11" t="s">
        <v>39</v>
      </c>
    </row>
    <row r="47" spans="2:2" ht="15.75" customHeight="1" x14ac:dyDescent="0.2">
      <c r="B47" s="11" t="s">
        <v>40</v>
      </c>
    </row>
    <row r="48" spans="2:2" ht="15.75" customHeight="1" x14ac:dyDescent="0.2">
      <c r="B48" s="11" t="s">
        <v>41</v>
      </c>
    </row>
    <row r="49" spans="2:2" ht="15.75" customHeight="1" x14ac:dyDescent="0.2">
      <c r="B49" s="11" t="s">
        <v>42</v>
      </c>
    </row>
    <row r="50" spans="2:2" ht="15.75" customHeight="1" x14ac:dyDescent="0.2">
      <c r="B50" s="11" t="s">
        <v>43</v>
      </c>
    </row>
    <row r="52" spans="2:2" ht="19.5" customHeight="1" x14ac:dyDescent="0.2">
      <c r="B52" s="5" t="s">
        <v>44</v>
      </c>
    </row>
    <row r="53" spans="2:2" ht="15.75" customHeight="1" x14ac:dyDescent="0.2">
      <c r="B53" s="6" t="s">
        <v>45</v>
      </c>
    </row>
    <row r="54" spans="2:2" ht="15.75" customHeight="1" x14ac:dyDescent="0.2">
      <c r="B54" s="7" t="s">
        <v>46</v>
      </c>
    </row>
    <row r="55" spans="2:2" ht="15.75" customHeight="1" x14ac:dyDescent="0.2">
      <c r="B55" s="6" t="s">
        <v>47</v>
      </c>
    </row>
    <row r="57" spans="2:2" ht="19.5" customHeight="1" x14ac:dyDescent="0.2">
      <c r="B57" s="9" t="s">
        <v>48</v>
      </c>
    </row>
    <row r="58" spans="2:2" ht="15.75" customHeight="1" x14ac:dyDescent="0.2">
      <c r="B58" s="7" t="s">
        <v>49</v>
      </c>
    </row>
    <row r="59" spans="2:2" ht="15.75" customHeight="1" x14ac:dyDescent="0.2">
      <c r="B59" s="13" t="s">
        <v>50</v>
      </c>
    </row>
    <row r="60" spans="2:2" ht="15.75" customHeight="1" x14ac:dyDescent="0.2">
      <c r="B60" s="13" t="s">
        <v>51</v>
      </c>
    </row>
    <row r="61" spans="2:2" ht="15.75" customHeight="1" x14ac:dyDescent="0.2">
      <c r="B61" s="13" t="s">
        <v>52</v>
      </c>
    </row>
    <row r="62" spans="2:2" ht="15.75" customHeight="1" x14ac:dyDescent="0.2">
      <c r="B62" s="13" t="s">
        <v>53</v>
      </c>
    </row>
    <row r="63" spans="2:2" ht="15.75" customHeight="1" x14ac:dyDescent="0.2">
      <c r="B63" s="13" t="s">
        <v>54</v>
      </c>
    </row>
    <row r="64" spans="2:2" ht="15.75" customHeight="1" x14ac:dyDescent="0.2">
      <c r="B64" s="7" t="s">
        <v>55</v>
      </c>
    </row>
    <row r="66" spans="1:1" x14ac:dyDescent="0.2">
      <c r="A66" t="s">
        <v>56</v>
      </c>
    </row>
    <row r="67" spans="1:1" x14ac:dyDescent="0.2">
      <c r="A67" t="s">
        <v>57</v>
      </c>
    </row>
    <row r="68" spans="1:1" x14ac:dyDescent="0.2">
      <c r="A68" t="s">
        <v>58</v>
      </c>
    </row>
    <row r="69" spans="1:1" x14ac:dyDescent="0.2">
      <c r="A69" t="s">
        <v>59</v>
      </c>
    </row>
    <row r="70" spans="1:1" x14ac:dyDescent="0.2">
      <c r="A70" t="s">
        <v>60</v>
      </c>
    </row>
    <row r="71" spans="1:1" x14ac:dyDescent="0.2">
      <c r="A71" t="s">
        <v>61</v>
      </c>
    </row>
    <row r="72" spans="1:1" x14ac:dyDescent="0.2">
      <c r="A72" t="s">
        <v>62</v>
      </c>
    </row>
    <row r="73" spans="1:1" x14ac:dyDescent="0.2">
      <c r="A73" t="s">
        <v>63</v>
      </c>
    </row>
    <row r="74" spans="1:1" x14ac:dyDescent="0.2">
      <c r="A74" t="s">
        <v>64</v>
      </c>
    </row>
    <row r="75" spans="1:1" x14ac:dyDescent="0.2">
      <c r="A75" t="s">
        <v>65</v>
      </c>
    </row>
    <row r="77" spans="1:1" x14ac:dyDescent="0.2">
      <c r="A77" t="s">
        <v>66</v>
      </c>
    </row>
    <row r="78" spans="1:1" x14ac:dyDescent="0.2">
      <c r="A78" t="s">
        <v>67</v>
      </c>
    </row>
    <row r="79" spans="1:1" x14ac:dyDescent="0.2">
      <c r="A79" t="s">
        <v>68</v>
      </c>
    </row>
    <row r="80" spans="1:1" x14ac:dyDescent="0.2">
      <c r="A80" t="s">
        <v>69</v>
      </c>
    </row>
    <row r="81" spans="1:1" x14ac:dyDescent="0.2">
      <c r="A81" t="s">
        <v>70</v>
      </c>
    </row>
    <row r="82" spans="1:1" x14ac:dyDescent="0.2">
      <c r="A82" t="s">
        <v>71</v>
      </c>
    </row>
    <row r="83" spans="1:1" x14ac:dyDescent="0.2">
      <c r="A83" t="s">
        <v>72</v>
      </c>
    </row>
    <row r="84" spans="1:1" x14ac:dyDescent="0.2">
      <c r="A84" t="s">
        <v>73</v>
      </c>
    </row>
    <row r="85" spans="1:1" x14ac:dyDescent="0.2">
      <c r="A85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showGridLines="0" zoomScale="120" zoomScaleNormal="120" workbookViewId="0">
      <selection activeCell="B26" sqref="B26"/>
    </sheetView>
  </sheetViews>
  <sheetFormatPr baseColWidth="10" defaultColWidth="8.83203125" defaultRowHeight="15" x14ac:dyDescent="0.2"/>
  <cols>
    <col min="1" max="1" width="2" customWidth="1"/>
    <col min="2" max="2" width="55" customWidth="1"/>
    <col min="3" max="4" width="18" customWidth="1"/>
    <col min="5" max="5" width="45" customWidth="1"/>
  </cols>
  <sheetData>
    <row r="1" spans="1:5" ht="27.75" customHeight="1" x14ac:dyDescent="0.2">
      <c r="A1" s="14" t="s">
        <v>75</v>
      </c>
      <c r="B1" s="15"/>
      <c r="C1" s="15"/>
      <c r="D1" s="15"/>
      <c r="E1" s="15"/>
    </row>
    <row r="3" spans="1:5" ht="21.75" customHeight="1" x14ac:dyDescent="0.2">
      <c r="B3" s="16" t="s">
        <v>76</v>
      </c>
    </row>
    <row r="5" spans="1:5" ht="30" customHeight="1" x14ac:dyDescent="0.2">
      <c r="B5" s="17" t="s">
        <v>77</v>
      </c>
      <c r="C5" s="17" t="s">
        <v>78</v>
      </c>
      <c r="D5" s="17" t="s">
        <v>79</v>
      </c>
      <c r="E5" s="17" t="s">
        <v>80</v>
      </c>
    </row>
    <row r="6" spans="1:5" ht="25.5" customHeight="1" x14ac:dyDescent="0.2">
      <c r="B6" s="18" t="s">
        <v>81</v>
      </c>
      <c r="C6" s="19">
        <f>'Primary TCO - Hyderabad'!Q30</f>
        <v>10962.730000000001</v>
      </c>
      <c r="D6" s="20">
        <f t="shared" ref="D6:D13" si="0">C6*12</f>
        <v>131552.76</v>
      </c>
      <c r="E6" s="21" t="s">
        <v>82</v>
      </c>
    </row>
    <row r="7" spans="1:5" ht="25.5" customHeight="1" x14ac:dyDescent="0.2">
      <c r="B7" s="22" t="s">
        <v>83</v>
      </c>
      <c r="C7" s="23">
        <f>'Primary TCO - Hyderabad'!Q31</f>
        <v>1387.59</v>
      </c>
      <c r="D7" s="24">
        <f t="shared" si="0"/>
        <v>16651.079999999998</v>
      </c>
      <c r="E7" s="25" t="s">
        <v>84</v>
      </c>
    </row>
    <row r="8" spans="1:5" ht="25.5" customHeight="1" x14ac:dyDescent="0.2">
      <c r="B8" s="18" t="s">
        <v>85</v>
      </c>
      <c r="C8" s="19">
        <f>'DR TCO - Mumbai'!O14</f>
        <v>8281.2900000000009</v>
      </c>
      <c r="D8" s="20">
        <f t="shared" si="0"/>
        <v>99375.48000000001</v>
      </c>
      <c r="E8" s="21" t="s">
        <v>86</v>
      </c>
    </row>
    <row r="9" spans="1:5" ht="25.5" customHeight="1" x14ac:dyDescent="0.2">
      <c r="B9" s="22" t="s">
        <v>87</v>
      </c>
      <c r="C9" s="23">
        <f>SuppServices4ExistingHIS!F29</f>
        <v>3948.4799999999996</v>
      </c>
      <c r="D9" s="24">
        <f t="shared" si="0"/>
        <v>47381.759999999995</v>
      </c>
      <c r="E9" s="25" t="s">
        <v>88</v>
      </c>
    </row>
    <row r="10" spans="1:5" ht="25.5" customHeight="1" x14ac:dyDescent="0.2">
      <c r="B10" s="18" t="s">
        <v>89</v>
      </c>
      <c r="C10" s="19">
        <f>'Marketplace Offerings'!F17</f>
        <v>5173.08</v>
      </c>
      <c r="D10" s="20">
        <f t="shared" si="0"/>
        <v>62076.959999999999</v>
      </c>
      <c r="E10" s="21" t="s">
        <v>90</v>
      </c>
    </row>
    <row r="11" spans="1:5" ht="25.5" customHeight="1" x14ac:dyDescent="0.2">
      <c r="B11" s="22" t="s">
        <v>91</v>
      </c>
      <c r="C11" s="23">
        <f>'Existing AWS HMS (Phase 2)'!G33</f>
        <v>6209.14</v>
      </c>
      <c r="D11" s="24">
        <f t="shared" si="0"/>
        <v>74509.680000000008</v>
      </c>
      <c r="E11" s="25" t="s">
        <v>92</v>
      </c>
    </row>
    <row r="12" spans="1:5" ht="25.5" customHeight="1" x14ac:dyDescent="0.2">
      <c r="B12" s="26" t="s">
        <v>93</v>
      </c>
      <c r="C12" s="27">
        <f>'HIS BOM - KareXpert'!I25</f>
        <v>4768.17</v>
      </c>
      <c r="D12" s="28">
        <f t="shared" si="0"/>
        <v>57218.04</v>
      </c>
      <c r="E12" s="29" t="s">
        <v>94</v>
      </c>
    </row>
    <row r="13" spans="1:5" ht="31.5" customHeight="1" x14ac:dyDescent="0.2">
      <c r="B13" s="30" t="s">
        <v>95</v>
      </c>
      <c r="C13" s="31">
        <f>SUM(C6:C12)</f>
        <v>40730.479999999996</v>
      </c>
      <c r="D13" s="31">
        <f t="shared" si="0"/>
        <v>488765.75999999995</v>
      </c>
      <c r="E13" s="32" t="s">
        <v>96</v>
      </c>
    </row>
    <row r="15" spans="1:5" ht="16.5" customHeight="1" x14ac:dyDescent="0.2">
      <c r="B15" s="33" t="s">
        <v>97</v>
      </c>
    </row>
    <row r="16" spans="1:5" ht="27.75" customHeight="1" x14ac:dyDescent="0.2">
      <c r="B16" s="34" t="s">
        <v>98</v>
      </c>
    </row>
    <row r="17" spans="2:2" ht="27.75" customHeight="1" x14ac:dyDescent="0.2">
      <c r="B17" s="35" t="s">
        <v>99</v>
      </c>
    </row>
    <row r="18" spans="2:2" x14ac:dyDescent="0.2">
      <c r="B18" s="36" t="s">
        <v>100</v>
      </c>
    </row>
    <row r="20" spans="2:2" ht="27.75" hidden="1" customHeight="1" x14ac:dyDescent="0.2">
      <c r="B20" s="36" t="s">
        <v>101</v>
      </c>
    </row>
    <row r="21" spans="2:2" ht="27.75" customHeight="1" x14ac:dyDescent="0.2">
      <c r="B21" s="37" t="s">
        <v>102</v>
      </c>
    </row>
    <row r="26" spans="2:2" x14ac:dyDescent="0.2">
      <c r="B26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showGridLines="0" zoomScale="120" zoomScaleNormal="120" workbookViewId="0">
      <selection activeCell="B27" sqref="B27"/>
    </sheetView>
  </sheetViews>
  <sheetFormatPr baseColWidth="10" defaultColWidth="8.83203125" defaultRowHeight="15" x14ac:dyDescent="0.2"/>
  <cols>
    <col min="1" max="1" width="2" customWidth="1"/>
    <col min="2" max="2" width="55" customWidth="1"/>
    <col min="3" max="4" width="18" customWidth="1"/>
    <col min="5" max="5" width="45" customWidth="1"/>
  </cols>
  <sheetData>
    <row r="1" spans="1:5" ht="27.75" customHeight="1" x14ac:dyDescent="0.2">
      <c r="A1" s="14" t="s">
        <v>104</v>
      </c>
      <c r="B1" s="15"/>
      <c r="C1" s="15"/>
      <c r="D1" s="15"/>
      <c r="E1" s="15"/>
    </row>
    <row r="3" spans="1:5" ht="21.75" customHeight="1" x14ac:dyDescent="0.2">
      <c r="B3" s="16" t="s">
        <v>76</v>
      </c>
    </row>
    <row r="5" spans="1:5" ht="30" customHeight="1" x14ac:dyDescent="0.2">
      <c r="B5" s="17" t="s">
        <v>77</v>
      </c>
      <c r="C5" s="17" t="s">
        <v>78</v>
      </c>
      <c r="D5" s="17" t="s">
        <v>79</v>
      </c>
      <c r="E5" s="17" t="s">
        <v>80</v>
      </c>
    </row>
    <row r="6" spans="1:5" ht="25.5" customHeight="1" x14ac:dyDescent="0.2">
      <c r="B6" s="18" t="s">
        <v>81</v>
      </c>
      <c r="C6" s="19">
        <f>'Primary TCO - Hyderabad'!Q30</f>
        <v>10962.730000000001</v>
      </c>
      <c r="D6" s="20">
        <f t="shared" ref="D6:D13" si="0">C6*12</f>
        <v>131552.76</v>
      </c>
      <c r="E6" s="21" t="s">
        <v>82</v>
      </c>
    </row>
    <row r="7" spans="1:5" ht="25.5" customHeight="1" x14ac:dyDescent="0.2">
      <c r="B7" s="22" t="s">
        <v>83</v>
      </c>
      <c r="C7" s="23">
        <f>'Primary TCO - Hyderabad'!Q31</f>
        <v>1387.59</v>
      </c>
      <c r="D7" s="24">
        <f t="shared" si="0"/>
        <v>16651.079999999998</v>
      </c>
      <c r="E7" s="25" t="s">
        <v>84</v>
      </c>
    </row>
    <row r="8" spans="1:5" ht="25.5" customHeight="1" x14ac:dyDescent="0.2">
      <c r="B8" s="18" t="s">
        <v>85</v>
      </c>
      <c r="C8" s="19">
        <f>'DR TCO - Mumbai'!O14</f>
        <v>8281.2900000000009</v>
      </c>
      <c r="D8" s="20">
        <f t="shared" si="0"/>
        <v>99375.48000000001</v>
      </c>
      <c r="E8" s="21" t="s">
        <v>86</v>
      </c>
    </row>
    <row r="9" spans="1:5" ht="25.5" customHeight="1" x14ac:dyDescent="0.2">
      <c r="B9" s="22" t="s">
        <v>87</v>
      </c>
      <c r="C9" s="23">
        <f>SuppServices4ExistingHIS!F29</f>
        <v>3948.4799999999996</v>
      </c>
      <c r="D9" s="24">
        <f t="shared" si="0"/>
        <v>47381.759999999995</v>
      </c>
      <c r="E9" s="25" t="s">
        <v>88</v>
      </c>
    </row>
    <row r="10" spans="1:5" ht="25.5" customHeight="1" x14ac:dyDescent="0.2">
      <c r="B10" s="18" t="s">
        <v>89</v>
      </c>
      <c r="C10" s="19">
        <f>'Marketplace Offerings'!F17</f>
        <v>5173.08</v>
      </c>
      <c r="D10" s="20">
        <f t="shared" si="0"/>
        <v>62076.959999999999</v>
      </c>
      <c r="E10" s="21" t="s">
        <v>90</v>
      </c>
    </row>
    <row r="11" spans="1:5" ht="25.5" customHeight="1" x14ac:dyDescent="0.2">
      <c r="B11" s="22" t="s">
        <v>91</v>
      </c>
      <c r="C11" s="23">
        <f>'Existing AWS HMS (Phase 2)'!G33</f>
        <v>6209.14</v>
      </c>
      <c r="D11" s="24">
        <f t="shared" si="0"/>
        <v>74509.680000000008</v>
      </c>
      <c r="E11" s="25" t="s">
        <v>92</v>
      </c>
    </row>
    <row r="12" spans="1:5" ht="25.5" customHeight="1" x14ac:dyDescent="0.2">
      <c r="B12" s="38" t="s">
        <v>105</v>
      </c>
      <c r="C12" s="39">
        <f>'HIS BOM - MyHealthcare'!I30</f>
        <v>8382.6200000000008</v>
      </c>
      <c r="D12" s="40">
        <f t="shared" si="0"/>
        <v>100591.44</v>
      </c>
      <c r="E12" s="41" t="s">
        <v>106</v>
      </c>
    </row>
    <row r="13" spans="1:5" ht="31.5" customHeight="1" x14ac:dyDescent="0.2">
      <c r="B13" s="30" t="s">
        <v>107</v>
      </c>
      <c r="C13" s="31">
        <f>SUM(C6:C12)</f>
        <v>44344.93</v>
      </c>
      <c r="D13" s="31">
        <f t="shared" si="0"/>
        <v>532139.16</v>
      </c>
      <c r="E13" s="32" t="s">
        <v>96</v>
      </c>
    </row>
    <row r="15" spans="1:5" ht="16.5" customHeight="1" x14ac:dyDescent="0.2">
      <c r="B15" s="33" t="s">
        <v>97</v>
      </c>
    </row>
    <row r="16" spans="1:5" ht="27.75" customHeight="1" x14ac:dyDescent="0.2">
      <c r="B16" s="34" t="s">
        <v>98</v>
      </c>
    </row>
    <row r="17" spans="2:2" ht="27.75" customHeight="1" x14ac:dyDescent="0.2">
      <c r="B17" s="35" t="s">
        <v>99</v>
      </c>
    </row>
    <row r="18" spans="2:2" x14ac:dyDescent="0.2">
      <c r="B18" s="36" t="s">
        <v>100</v>
      </c>
    </row>
    <row r="20" spans="2:2" ht="27.75" hidden="1" customHeight="1" x14ac:dyDescent="0.2">
      <c r="B20" s="36" t="s">
        <v>101</v>
      </c>
    </row>
    <row r="21" spans="2:2" ht="27.75" customHeight="1" x14ac:dyDescent="0.2">
      <c r="B21" s="37" t="s">
        <v>102</v>
      </c>
    </row>
    <row r="26" spans="2:2" x14ac:dyDescent="0.2">
      <c r="B26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30"/>
  <sheetViews>
    <sheetView zoomScale="140" zoomScaleNormal="140" workbookViewId="0">
      <selection activeCell="B6" sqref="B6"/>
    </sheetView>
  </sheetViews>
  <sheetFormatPr baseColWidth="10" defaultColWidth="10.83203125" defaultRowHeight="14" x14ac:dyDescent="0.2"/>
  <cols>
    <col min="1" max="1" width="3" style="42" customWidth="1"/>
    <col min="2" max="2" width="61.5" style="42" customWidth="1"/>
    <col min="3" max="3" width="15.1640625" style="42" customWidth="1"/>
    <col min="4" max="4" width="12.1640625" style="42" customWidth="1"/>
    <col min="5" max="5" width="12.5" style="42" customWidth="1"/>
    <col min="6" max="6" width="13.33203125" style="42" customWidth="1"/>
    <col min="7" max="7" width="5.6640625" style="42" customWidth="1"/>
    <col min="8" max="8" width="21.5" style="42" customWidth="1"/>
    <col min="9" max="9" width="27.83203125" style="42" customWidth="1"/>
    <col min="10" max="10" width="12.1640625" style="42" customWidth="1"/>
    <col min="11" max="16384" width="10.83203125" style="42"/>
  </cols>
  <sheetData>
    <row r="1" spans="2:10" x14ac:dyDescent="0.2">
      <c r="I1" s="43"/>
      <c r="J1" s="43"/>
    </row>
    <row r="2" spans="2:10" x14ac:dyDescent="0.2">
      <c r="H2" s="44"/>
      <c r="I2" s="45"/>
      <c r="J2" s="45"/>
    </row>
    <row r="3" spans="2:10" x14ac:dyDescent="0.2">
      <c r="B3" s="46" t="s">
        <v>109</v>
      </c>
      <c r="C3" s="46" t="s">
        <v>110</v>
      </c>
      <c r="H3" s="47"/>
    </row>
    <row r="4" spans="2:10" x14ac:dyDescent="0.2">
      <c r="B4" s="48" t="s">
        <v>111</v>
      </c>
      <c r="C4" s="49">
        <f>'Consolidated Master View'!H127+'Consolidated Master View'!H128</f>
        <v>148203.84</v>
      </c>
      <c r="D4" s="43"/>
      <c r="E4" s="43"/>
      <c r="I4" s="48" t="s">
        <v>112</v>
      </c>
      <c r="J4" s="48"/>
    </row>
    <row r="5" spans="2:10" x14ac:dyDescent="0.2">
      <c r="B5" s="48" t="s">
        <v>113</v>
      </c>
      <c r="C5" s="49">
        <f>'Consolidated Master View'!H129</f>
        <v>99375.48000000001</v>
      </c>
      <c r="D5" s="43"/>
      <c r="E5" s="43"/>
      <c r="I5" s="48" t="str">
        <f t="shared" ref="I5:J7" si="0">B4</f>
        <v>Cntrl S Infra</v>
      </c>
      <c r="J5" s="49">
        <f t="shared" si="0"/>
        <v>148203.84</v>
      </c>
    </row>
    <row r="6" spans="2:10" x14ac:dyDescent="0.2">
      <c r="B6" s="48" t="s">
        <v>114</v>
      </c>
      <c r="C6" s="49">
        <f>'Consolidated Summary'!D9</f>
        <v>47381.759999999995</v>
      </c>
      <c r="D6" s="43"/>
      <c r="E6" s="43"/>
      <c r="I6" s="48" t="str">
        <f t="shared" si="0"/>
        <v>DR</v>
      </c>
      <c r="J6" s="49">
        <f t="shared" si="0"/>
        <v>99375.48000000001</v>
      </c>
    </row>
    <row r="7" spans="2:10" x14ac:dyDescent="0.2">
      <c r="B7" s="48" t="s">
        <v>115</v>
      </c>
      <c r="C7" s="49">
        <f>'Consolidated Master View'!H132</f>
        <v>62076.959999999999</v>
      </c>
      <c r="D7" s="43"/>
      <c r="E7" s="43"/>
      <c r="I7" s="48" t="str">
        <f t="shared" si="0"/>
        <v>Shared Services</v>
      </c>
      <c r="J7" s="49">
        <f t="shared" si="0"/>
        <v>47381.759999999995</v>
      </c>
    </row>
    <row r="8" spans="2:10" x14ac:dyDescent="0.2">
      <c r="B8" s="48" t="s">
        <v>116</v>
      </c>
      <c r="C8" s="49">
        <f>'Consolidated Summary'!D11</f>
        <v>74509.680000000008</v>
      </c>
      <c r="D8" s="43" t="s">
        <v>117</v>
      </c>
      <c r="E8" s="43"/>
      <c r="I8" s="48" t="str">
        <f>B9</f>
        <v>MyHealthcare</v>
      </c>
      <c r="J8" s="49">
        <f>C9</f>
        <v>100591.44</v>
      </c>
    </row>
    <row r="9" spans="2:10" x14ac:dyDescent="0.2">
      <c r="B9" s="48" t="s">
        <v>118</v>
      </c>
      <c r="C9" s="49">
        <f>'Master - MyHealthcare Option'!D12</f>
        <v>100591.44</v>
      </c>
      <c r="D9" s="43"/>
      <c r="E9" s="43"/>
      <c r="I9" s="48" t="str">
        <f>B10</f>
        <v>MyHealthcare DR (approx) $4,000 MRR</v>
      </c>
      <c r="J9" s="49">
        <f>C10</f>
        <v>48000</v>
      </c>
    </row>
    <row r="10" spans="2:10" x14ac:dyDescent="0.2">
      <c r="B10" s="48" t="s">
        <v>119</v>
      </c>
      <c r="C10" s="49">
        <f>4000*12</f>
        <v>48000</v>
      </c>
      <c r="D10" s="43"/>
      <c r="E10" s="43"/>
      <c r="I10" s="48"/>
      <c r="J10" s="49"/>
    </row>
    <row r="11" spans="2:10" x14ac:dyDescent="0.2">
      <c r="B11" s="46" t="s">
        <v>120</v>
      </c>
      <c r="C11" s="50">
        <f>SUM(C4:C10)</f>
        <v>580139.16</v>
      </c>
      <c r="I11" s="48" t="s">
        <v>121</v>
      </c>
      <c r="J11" s="49">
        <f>SUM(J5:J9)</f>
        <v>443552.52</v>
      </c>
    </row>
    <row r="12" spans="2:10" x14ac:dyDescent="0.2">
      <c r="B12" s="48"/>
      <c r="C12" s="49"/>
      <c r="I12" s="43"/>
    </row>
    <row r="13" spans="2:10" x14ac:dyDescent="0.2">
      <c r="B13" s="48" t="s">
        <v>122</v>
      </c>
      <c r="C13" s="49">
        <f>C27</f>
        <v>104654.178</v>
      </c>
      <c r="J13" s="43"/>
    </row>
    <row r="14" spans="2:10" x14ac:dyDescent="0.2">
      <c r="B14" s="48" t="s">
        <v>123</v>
      </c>
      <c r="C14" s="49">
        <f>3%*(C11-C7)</f>
        <v>15541.866</v>
      </c>
    </row>
    <row r="15" spans="2:10" x14ac:dyDescent="0.2">
      <c r="B15" s="46" t="s">
        <v>124</v>
      </c>
      <c r="C15" s="50">
        <f>C11-C13-C14</f>
        <v>459943.11600000004</v>
      </c>
    </row>
    <row r="16" spans="2:10" x14ac:dyDescent="0.2">
      <c r="B16" s="46" t="s">
        <v>125</v>
      </c>
      <c r="C16" s="49">
        <f>(C11-C7)*10%</f>
        <v>51806.22</v>
      </c>
    </row>
    <row r="17" spans="2:10" x14ac:dyDescent="0.2">
      <c r="B17" s="46" t="s">
        <v>126</v>
      </c>
      <c r="C17" s="50">
        <f>C15+C16</f>
        <v>511749.33600000001</v>
      </c>
      <c r="E17" s="43"/>
    </row>
    <row r="18" spans="2:10" x14ac:dyDescent="0.2">
      <c r="B18" s="46" t="s">
        <v>127</v>
      </c>
      <c r="C18" s="50">
        <f>(C11-C7)-(C13+C14)+C16</f>
        <v>449672.37600000005</v>
      </c>
      <c r="D18" s="43"/>
      <c r="F18" s="43"/>
    </row>
    <row r="19" spans="2:10" x14ac:dyDescent="0.2">
      <c r="B19" s="51"/>
      <c r="C19" s="52"/>
      <c r="D19" s="43"/>
      <c r="F19" s="43"/>
      <c r="J19" s="43"/>
    </row>
    <row r="20" spans="2:10" x14ac:dyDescent="0.2">
      <c r="B20" s="42" t="s">
        <v>128</v>
      </c>
      <c r="C20" s="43"/>
    </row>
    <row r="21" spans="2:10" x14ac:dyDescent="0.2">
      <c r="B21" s="42" t="s">
        <v>129</v>
      </c>
    </row>
    <row r="22" spans="2:10" x14ac:dyDescent="0.2">
      <c r="J22" s="43"/>
    </row>
    <row r="23" spans="2:10" x14ac:dyDescent="0.2">
      <c r="B23" s="42" t="s">
        <v>130</v>
      </c>
      <c r="C23" s="43">
        <f>J11*15%</f>
        <v>66532.877999999997</v>
      </c>
      <c r="D23" s="43"/>
      <c r="E23" s="42">
        <v>3294.85</v>
      </c>
      <c r="F23" s="42">
        <f>E23*12</f>
        <v>39538.199999999997</v>
      </c>
    </row>
    <row r="24" spans="2:10" x14ac:dyDescent="0.2">
      <c r="B24" s="42" t="s">
        <v>131</v>
      </c>
      <c r="C24" s="43">
        <f>F25*50%</f>
        <v>31000.5</v>
      </c>
      <c r="E24" s="42">
        <v>1871.9</v>
      </c>
      <c r="F24" s="42">
        <f>E24*12</f>
        <v>22462.800000000003</v>
      </c>
      <c r="I24" s="43"/>
    </row>
    <row r="25" spans="2:10" x14ac:dyDescent="0.2">
      <c r="B25" s="42" t="s">
        <v>132</v>
      </c>
      <c r="C25" s="43">
        <f>F30</f>
        <v>7120.8</v>
      </c>
      <c r="E25" s="42" t="s">
        <v>133</v>
      </c>
      <c r="F25" s="42">
        <f>SUM(F23:F24)</f>
        <v>62001</v>
      </c>
    </row>
    <row r="27" spans="2:10" x14ac:dyDescent="0.2">
      <c r="C27" s="43">
        <f>SUM(C23:C25)</f>
        <v>104654.178</v>
      </c>
      <c r="D27" s="42" t="s">
        <v>134</v>
      </c>
      <c r="E27" s="42">
        <v>3295</v>
      </c>
      <c r="F27" s="42">
        <f>E27*12</f>
        <v>39540</v>
      </c>
    </row>
    <row r="28" spans="2:10" x14ac:dyDescent="0.2">
      <c r="E28" s="42">
        <v>2639</v>
      </c>
      <c r="F28" s="42">
        <f>E28*12</f>
        <v>31668</v>
      </c>
    </row>
    <row r="29" spans="2:10" x14ac:dyDescent="0.2">
      <c r="F29" s="42">
        <f>F27+F28</f>
        <v>71208</v>
      </c>
    </row>
    <row r="30" spans="2:10" x14ac:dyDescent="0.2">
      <c r="F30" s="42">
        <f>F29*10%</f>
        <v>7120.8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9"/>
  <sheetViews>
    <sheetView zoomScale="140" zoomScaleNormal="140" workbookViewId="0">
      <selection activeCell="B16" sqref="B16"/>
    </sheetView>
  </sheetViews>
  <sheetFormatPr baseColWidth="10" defaultColWidth="10.83203125" defaultRowHeight="14" x14ac:dyDescent="0.2"/>
  <cols>
    <col min="1" max="1" width="3" style="42" customWidth="1"/>
    <col min="2" max="2" width="55.83203125" style="42" customWidth="1"/>
    <col min="3" max="3" width="15.1640625" style="42" customWidth="1"/>
    <col min="4" max="4" width="28" style="42" customWidth="1"/>
    <col min="5" max="5" width="5.1640625" style="42" customWidth="1"/>
    <col min="6" max="6" width="13.33203125" style="42" customWidth="1"/>
    <col min="7" max="7" width="5.6640625" style="42" customWidth="1"/>
    <col min="8" max="8" width="21.5" style="42" customWidth="1"/>
    <col min="9" max="10" width="12.1640625" style="42" customWidth="1"/>
    <col min="11" max="11" width="10.5" style="42" customWidth="1"/>
    <col min="12" max="16384" width="10.83203125" style="42"/>
  </cols>
  <sheetData>
    <row r="1" spans="2:12" x14ac:dyDescent="0.2">
      <c r="I1" s="43"/>
      <c r="J1" s="43"/>
    </row>
    <row r="2" spans="2:12" x14ac:dyDescent="0.2">
      <c r="H2" s="44"/>
      <c r="I2" s="45"/>
      <c r="J2" s="45"/>
    </row>
    <row r="3" spans="2:12" x14ac:dyDescent="0.2">
      <c r="B3" s="46" t="s">
        <v>109</v>
      </c>
      <c r="C3" s="46" t="s">
        <v>110</v>
      </c>
      <c r="H3" s="47"/>
    </row>
    <row r="4" spans="2:12" x14ac:dyDescent="0.2">
      <c r="B4" s="48" t="s">
        <v>111</v>
      </c>
      <c r="C4" s="49">
        <f>'Consolidated Master View'!H127+'Consolidated Master View'!H128</f>
        <v>148203.84</v>
      </c>
      <c r="D4" s="43"/>
      <c r="E4" s="43"/>
    </row>
    <row r="5" spans="2:12" x14ac:dyDescent="0.2">
      <c r="B5" s="48" t="s">
        <v>113</v>
      </c>
      <c r="C5" s="49">
        <f>'Consolidated Master View'!H129</f>
        <v>99375.48000000001</v>
      </c>
      <c r="D5" s="43"/>
      <c r="E5" s="43"/>
    </row>
    <row r="6" spans="2:12" x14ac:dyDescent="0.2">
      <c r="B6" s="48" t="s">
        <v>114</v>
      </c>
      <c r="C6" s="49">
        <f>'Consolidated Summary'!D9</f>
        <v>47381.759999999995</v>
      </c>
      <c r="D6" s="43"/>
      <c r="E6" s="43"/>
      <c r="H6" s="48" t="s">
        <v>112</v>
      </c>
      <c r="I6" s="48"/>
    </row>
    <row r="7" spans="2:12" x14ac:dyDescent="0.2">
      <c r="B7" s="48" t="s">
        <v>115</v>
      </c>
      <c r="C7" s="49">
        <f>'Consolidated Master View'!H132</f>
        <v>62076.959999999999</v>
      </c>
      <c r="D7" s="43"/>
      <c r="E7" s="43"/>
      <c r="H7" s="48" t="str">
        <f t="shared" ref="H7:I9" si="0">B4</f>
        <v>Cntrl S Infra</v>
      </c>
      <c r="I7" s="49">
        <f t="shared" si="0"/>
        <v>148203.84</v>
      </c>
      <c r="K7" s="42">
        <v>3294.85</v>
      </c>
      <c r="L7" s="42">
        <f>K7*12</f>
        <v>39538.199999999997</v>
      </c>
    </row>
    <row r="8" spans="2:12" x14ac:dyDescent="0.2">
      <c r="B8" s="48" t="s">
        <v>135</v>
      </c>
      <c r="C8" s="49">
        <f>'Consolidated Summary'!D11</f>
        <v>74509.680000000008</v>
      </c>
      <c r="D8" s="43" t="s">
        <v>117</v>
      </c>
      <c r="E8" s="43"/>
      <c r="H8" s="48" t="str">
        <f t="shared" si="0"/>
        <v>DR</v>
      </c>
      <c r="I8" s="49">
        <f t="shared" si="0"/>
        <v>99375.48000000001</v>
      </c>
      <c r="K8" s="42">
        <v>1871.9</v>
      </c>
      <c r="L8" s="42">
        <f>K8*12</f>
        <v>22462.800000000003</v>
      </c>
    </row>
    <row r="9" spans="2:12" x14ac:dyDescent="0.2">
      <c r="B9" s="48" t="s">
        <v>136</v>
      </c>
      <c r="C9" s="49">
        <f>'Master - KareXpert Option'!D12</f>
        <v>57218.04</v>
      </c>
      <c r="D9" s="43"/>
      <c r="E9" s="43"/>
      <c r="H9" s="48" t="str">
        <f t="shared" si="0"/>
        <v>Shared Services</v>
      </c>
      <c r="I9" s="49">
        <f t="shared" si="0"/>
        <v>47381.759999999995</v>
      </c>
      <c r="K9" s="42" t="s">
        <v>137</v>
      </c>
      <c r="L9" s="42">
        <f>SUM(L7:L8)</f>
        <v>62001</v>
      </c>
    </row>
    <row r="10" spans="2:12" x14ac:dyDescent="0.2">
      <c r="B10" s="48" t="s">
        <v>138</v>
      </c>
      <c r="C10" s="49">
        <f>2500*12</f>
        <v>30000</v>
      </c>
      <c r="D10" s="43"/>
      <c r="E10" s="43"/>
      <c r="H10" s="48" t="s">
        <v>139</v>
      </c>
      <c r="I10" s="49">
        <f>C9</f>
        <v>57218.04</v>
      </c>
    </row>
    <row r="11" spans="2:12" x14ac:dyDescent="0.2">
      <c r="B11" s="46" t="s">
        <v>140</v>
      </c>
      <c r="C11" s="50">
        <f>SUM(C4:C10)</f>
        <v>518765.76</v>
      </c>
      <c r="H11" s="48" t="s">
        <v>141</v>
      </c>
      <c r="I11" s="49">
        <f>C10</f>
        <v>30000</v>
      </c>
    </row>
    <row r="12" spans="2:12" x14ac:dyDescent="0.2">
      <c r="B12" s="48"/>
      <c r="C12" s="49"/>
      <c r="H12" s="48" t="s">
        <v>142</v>
      </c>
      <c r="I12" s="49">
        <f>SUM(I7:I11)</f>
        <v>382179.12</v>
      </c>
      <c r="K12" s="42">
        <v>3295</v>
      </c>
      <c r="L12" s="42">
        <f>K12*12</f>
        <v>39540</v>
      </c>
    </row>
    <row r="13" spans="2:12" x14ac:dyDescent="0.2">
      <c r="B13" s="48" t="s">
        <v>122</v>
      </c>
      <c r="C13" s="49">
        <f>C29</f>
        <v>95448.167999999991</v>
      </c>
      <c r="K13" s="42">
        <v>2639</v>
      </c>
      <c r="L13" s="42">
        <f>K13*12</f>
        <v>31668</v>
      </c>
    </row>
    <row r="14" spans="2:12" x14ac:dyDescent="0.2">
      <c r="B14" s="48" t="s">
        <v>123</v>
      </c>
      <c r="C14" s="49">
        <f>3%*(C11-C7)</f>
        <v>13700.663999999999</v>
      </c>
      <c r="L14" s="42">
        <f>L12+L13</f>
        <v>71208</v>
      </c>
    </row>
    <row r="15" spans="2:12" x14ac:dyDescent="0.2">
      <c r="B15" s="46" t="s">
        <v>143</v>
      </c>
      <c r="C15" s="50">
        <f>C11-C13-C14</f>
        <v>409616.92800000001</v>
      </c>
      <c r="K15" s="42" t="s">
        <v>144</v>
      </c>
      <c r="L15" s="42">
        <f>L14*10%</f>
        <v>7120.8</v>
      </c>
    </row>
    <row r="16" spans="2:12" x14ac:dyDescent="0.2">
      <c r="B16" s="48" t="s">
        <v>145</v>
      </c>
      <c r="C16" s="49">
        <f>(C11-C7)*10%</f>
        <v>45668.880000000005</v>
      </c>
    </row>
    <row r="17" spans="2:9" x14ac:dyDescent="0.2">
      <c r="B17" s="46" t="s">
        <v>126</v>
      </c>
      <c r="C17" s="50">
        <f>C15+C16</f>
        <v>455285.80800000002</v>
      </c>
      <c r="D17" s="43"/>
      <c r="E17" s="43"/>
    </row>
    <row r="18" spans="2:9" x14ac:dyDescent="0.2">
      <c r="B18" s="46" t="s">
        <v>127</v>
      </c>
      <c r="C18" s="50">
        <f>(C11-C7)-(C13+C14)+C16</f>
        <v>393208.848</v>
      </c>
      <c r="D18" s="43"/>
      <c r="E18" s="43"/>
      <c r="F18" s="43"/>
    </row>
    <row r="19" spans="2:9" x14ac:dyDescent="0.2">
      <c r="B19" s="46"/>
      <c r="C19" s="50"/>
      <c r="E19" s="43"/>
      <c r="F19" s="43"/>
    </row>
    <row r="20" spans="2:9" x14ac:dyDescent="0.2">
      <c r="B20" s="51"/>
      <c r="C20" s="52"/>
      <c r="E20" s="43"/>
    </row>
    <row r="21" spans="2:9" x14ac:dyDescent="0.2">
      <c r="B21" s="51"/>
      <c r="C21" s="52"/>
      <c r="D21" s="43"/>
      <c r="E21" s="43"/>
    </row>
    <row r="22" spans="2:9" x14ac:dyDescent="0.2">
      <c r="B22" s="42" t="s">
        <v>128</v>
      </c>
      <c r="C22" s="43"/>
    </row>
    <row r="23" spans="2:9" x14ac:dyDescent="0.2">
      <c r="B23" s="42" t="s">
        <v>129</v>
      </c>
    </row>
    <row r="25" spans="2:9" x14ac:dyDescent="0.2">
      <c r="B25" s="42" t="s">
        <v>130</v>
      </c>
      <c r="C25" s="43">
        <f>I12*15%</f>
        <v>57326.867999999995</v>
      </c>
      <c r="D25" s="43"/>
    </row>
    <row r="26" spans="2:9" x14ac:dyDescent="0.2">
      <c r="B26" s="42" t="s">
        <v>131</v>
      </c>
      <c r="C26" s="43">
        <f>L9*50%</f>
        <v>31000.5</v>
      </c>
      <c r="I26" s="43"/>
    </row>
    <row r="27" spans="2:9" x14ac:dyDescent="0.2">
      <c r="B27" s="42" t="s">
        <v>132</v>
      </c>
      <c r="C27" s="43">
        <f>L15</f>
        <v>7120.8</v>
      </c>
    </row>
    <row r="29" spans="2:9" x14ac:dyDescent="0.2">
      <c r="C29" s="43">
        <f>SUM(C25:C27)</f>
        <v>95448.167999999991</v>
      </c>
      <c r="D29" s="42" t="s">
        <v>134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27"/>
  <sheetViews>
    <sheetView topLeftCell="A9" zoomScale="140" zoomScaleNormal="140" workbookViewId="0">
      <selection activeCell="C24" sqref="C24"/>
    </sheetView>
  </sheetViews>
  <sheetFormatPr baseColWidth="10" defaultColWidth="10.83203125" defaultRowHeight="14" x14ac:dyDescent="0.2"/>
  <cols>
    <col min="1" max="1" width="3" style="42" customWidth="1"/>
    <col min="2" max="2" width="55.83203125" style="42" customWidth="1"/>
    <col min="3" max="3" width="15.1640625" style="42" customWidth="1"/>
    <col min="4" max="5" width="12.1640625" style="42" customWidth="1"/>
    <col min="6" max="6" width="13.33203125" style="42" customWidth="1"/>
    <col min="7" max="7" width="5.6640625" style="42" customWidth="1"/>
    <col min="8" max="8" width="21.5" style="42" customWidth="1"/>
    <col min="9" max="10" width="12.1640625" style="42" customWidth="1"/>
    <col min="11" max="16384" width="10.83203125" style="42"/>
  </cols>
  <sheetData>
    <row r="1" spans="2:10" x14ac:dyDescent="0.2">
      <c r="I1" s="43"/>
      <c r="J1" s="43"/>
    </row>
    <row r="2" spans="2:10" x14ac:dyDescent="0.2">
      <c r="H2" s="44"/>
      <c r="I2" s="45"/>
      <c r="J2" s="45"/>
    </row>
    <row r="3" spans="2:10" x14ac:dyDescent="0.2">
      <c r="B3" s="46" t="s">
        <v>109</v>
      </c>
      <c r="C3" s="46" t="s">
        <v>110</v>
      </c>
      <c r="H3" s="47"/>
    </row>
    <row r="4" spans="2:10" x14ac:dyDescent="0.2">
      <c r="B4" s="48" t="s">
        <v>111</v>
      </c>
      <c r="C4" s="49">
        <f>'Consolidated Master View'!H127+'Consolidated Master View'!H128</f>
        <v>148203.84</v>
      </c>
      <c r="D4" s="43"/>
      <c r="E4" s="43"/>
    </row>
    <row r="5" spans="2:10" x14ac:dyDescent="0.2">
      <c r="B5" s="48" t="s">
        <v>113</v>
      </c>
      <c r="C5" s="49">
        <f>'Consolidated Master View'!H129</f>
        <v>99375.48000000001</v>
      </c>
      <c r="D5" s="43"/>
      <c r="E5" s="43"/>
    </row>
    <row r="6" spans="2:10" x14ac:dyDescent="0.2">
      <c r="B6" s="48" t="s">
        <v>114</v>
      </c>
      <c r="C6" s="49">
        <f>'Consolidated Summary'!D9</f>
        <v>47381.759999999995</v>
      </c>
      <c r="D6" s="43"/>
      <c r="E6" s="43"/>
    </row>
    <row r="7" spans="2:10" x14ac:dyDescent="0.2">
      <c r="B7" s="48" t="s">
        <v>115</v>
      </c>
      <c r="C7" s="49">
        <f>'Consolidated Master View'!H132</f>
        <v>62076.959999999999</v>
      </c>
      <c r="D7" s="43"/>
      <c r="E7" s="43"/>
    </row>
    <row r="8" spans="2:10" x14ac:dyDescent="0.2">
      <c r="B8" s="48" t="s">
        <v>146</v>
      </c>
      <c r="C8" s="49">
        <f>'Consolidated Master View'!H133</f>
        <v>0</v>
      </c>
      <c r="D8" s="43"/>
      <c r="E8" s="43"/>
      <c r="I8" s="43"/>
    </row>
    <row r="9" spans="2:10" x14ac:dyDescent="0.2">
      <c r="B9" s="48" t="s">
        <v>147</v>
      </c>
      <c r="C9" s="49">
        <f>'Consolidated Master View'!H130</f>
        <v>74509.680000000008</v>
      </c>
      <c r="D9" s="43"/>
      <c r="E9" s="43"/>
      <c r="I9" s="43"/>
    </row>
    <row r="10" spans="2:10" x14ac:dyDescent="0.2">
      <c r="B10" s="46" t="s">
        <v>148</v>
      </c>
      <c r="C10" s="50">
        <f>SUM(C4:C9)</f>
        <v>431547.72000000003</v>
      </c>
      <c r="I10" s="43"/>
    </row>
    <row r="11" spans="2:10" x14ac:dyDescent="0.2">
      <c r="B11" s="48"/>
      <c r="C11" s="49"/>
      <c r="I11" s="43"/>
    </row>
    <row r="12" spans="2:10" x14ac:dyDescent="0.2">
      <c r="B12" s="48" t="s">
        <v>122</v>
      </c>
      <c r="C12" s="49">
        <f>C24</f>
        <v>93541.914000000004</v>
      </c>
    </row>
    <row r="13" spans="2:10" x14ac:dyDescent="0.2">
      <c r="B13" s="48" t="s">
        <v>123</v>
      </c>
      <c r="C13" s="49">
        <f>3%*(C10-C7)</f>
        <v>11084.122799999999</v>
      </c>
    </row>
    <row r="14" spans="2:10" x14ac:dyDescent="0.2">
      <c r="B14" s="46" t="s">
        <v>124</v>
      </c>
      <c r="C14" s="50">
        <f>C10-C12-C13</f>
        <v>326921.68320000003</v>
      </c>
    </row>
    <row r="15" spans="2:10" x14ac:dyDescent="0.2">
      <c r="B15" s="46" t="s">
        <v>127</v>
      </c>
      <c r="C15" s="50">
        <f>C10-C7</f>
        <v>369470.76</v>
      </c>
      <c r="D15" s="43"/>
      <c r="F15" s="43"/>
    </row>
    <row r="16" spans="2:10" x14ac:dyDescent="0.2">
      <c r="B16" s="51"/>
      <c r="C16" s="52"/>
      <c r="D16" s="43"/>
      <c r="F16" s="43"/>
    </row>
    <row r="17" spans="2:9" x14ac:dyDescent="0.2">
      <c r="B17" s="42" t="s">
        <v>128</v>
      </c>
      <c r="C17" s="43"/>
    </row>
    <row r="20" spans="2:9" x14ac:dyDescent="0.2">
      <c r="B20" s="42" t="s">
        <v>130</v>
      </c>
      <c r="C20" s="43">
        <f>C15*15%</f>
        <v>55420.614000000001</v>
      </c>
      <c r="D20" s="43"/>
      <c r="E20" s="42">
        <v>3294.85</v>
      </c>
      <c r="F20" s="42">
        <f>E20*12</f>
        <v>39538.199999999997</v>
      </c>
    </row>
    <row r="21" spans="2:9" x14ac:dyDescent="0.2">
      <c r="B21" s="42" t="s">
        <v>131</v>
      </c>
      <c r="C21" s="43">
        <f>F22*50%</f>
        <v>31000.5</v>
      </c>
      <c r="E21" s="42">
        <v>1871.9</v>
      </c>
      <c r="F21" s="42">
        <f>E21*12</f>
        <v>22462.800000000003</v>
      </c>
      <c r="I21" s="43"/>
    </row>
    <row r="22" spans="2:9" x14ac:dyDescent="0.2">
      <c r="B22" s="42" t="s">
        <v>149</v>
      </c>
      <c r="C22" s="43">
        <f>F27</f>
        <v>7120.8</v>
      </c>
      <c r="E22" s="42" t="s">
        <v>133</v>
      </c>
      <c r="F22" s="42">
        <f>SUM(F20:F21)</f>
        <v>62001</v>
      </c>
    </row>
    <row r="24" spans="2:9" x14ac:dyDescent="0.2">
      <c r="C24" s="43">
        <f>SUM(C20:C22)</f>
        <v>93541.914000000004</v>
      </c>
      <c r="D24" s="42" t="s">
        <v>134</v>
      </c>
      <c r="E24" s="42">
        <v>3295</v>
      </c>
      <c r="F24" s="42">
        <f>E24*12</f>
        <v>39540</v>
      </c>
    </row>
    <row r="25" spans="2:9" x14ac:dyDescent="0.2">
      <c r="E25" s="42">
        <v>2639</v>
      </c>
      <c r="F25" s="42">
        <f>E25*12</f>
        <v>31668</v>
      </c>
    </row>
    <row r="26" spans="2:9" x14ac:dyDescent="0.2">
      <c r="F26" s="42">
        <f>F24+F25</f>
        <v>71208</v>
      </c>
    </row>
    <row r="27" spans="2:9" x14ac:dyDescent="0.2">
      <c r="F27" s="42">
        <f>F26*10%</f>
        <v>7120.8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0"/>
  <sheetViews>
    <sheetView showGridLines="0" zoomScale="120" zoomScaleNormal="120" workbookViewId="0">
      <pane ySplit="4" topLeftCell="A121" activePane="bottomLeft" state="frozen"/>
      <selection pane="bottomLeft" activeCell="B51" sqref="B51"/>
    </sheetView>
  </sheetViews>
  <sheetFormatPr baseColWidth="10" defaultColWidth="8.6640625" defaultRowHeight="15" x14ac:dyDescent="0.2"/>
  <cols>
    <col min="1" max="1" width="6" customWidth="1"/>
    <col min="2" max="2" width="26" customWidth="1"/>
    <col min="3" max="3" width="16" customWidth="1"/>
    <col min="4" max="4" width="18" customWidth="1"/>
    <col min="5" max="5" width="12" customWidth="1"/>
    <col min="6" max="6" width="18" customWidth="1"/>
    <col min="7" max="8" width="16" customWidth="1"/>
    <col min="9" max="9" width="10" customWidth="1"/>
    <col min="10" max="10" width="30" customWidth="1"/>
  </cols>
  <sheetData>
    <row r="1" spans="1:10" ht="17.25" customHeight="1" x14ac:dyDescent="0.2">
      <c r="A1" s="367" t="s">
        <v>150</v>
      </c>
      <c r="B1" s="367"/>
      <c r="C1" s="367"/>
      <c r="D1" s="367"/>
      <c r="E1" s="367"/>
      <c r="F1" s="367"/>
      <c r="G1" s="367"/>
      <c r="H1" s="367"/>
      <c r="I1" s="367"/>
      <c r="J1" s="367"/>
    </row>
    <row r="2" spans="1:10" ht="15" customHeight="1" x14ac:dyDescent="0.2">
      <c r="A2" s="368" t="s">
        <v>151</v>
      </c>
      <c r="B2" s="368"/>
      <c r="C2" s="368"/>
      <c r="D2" s="368"/>
      <c r="E2" s="368"/>
      <c r="F2" s="368"/>
      <c r="G2" s="368"/>
      <c r="H2" s="368"/>
      <c r="I2" s="368"/>
      <c r="J2" s="368"/>
    </row>
    <row r="4" spans="1:10" ht="15" customHeight="1" x14ac:dyDescent="0.2">
      <c r="A4" s="53" t="s">
        <v>152</v>
      </c>
      <c r="B4" s="53" t="s">
        <v>153</v>
      </c>
      <c r="C4" s="53" t="s">
        <v>154</v>
      </c>
      <c r="D4" s="53" t="s">
        <v>77</v>
      </c>
      <c r="E4" s="53" t="s">
        <v>155</v>
      </c>
      <c r="F4" s="53" t="s">
        <v>156</v>
      </c>
      <c r="G4" s="53" t="s">
        <v>78</v>
      </c>
      <c r="H4" s="53" t="s">
        <v>79</v>
      </c>
      <c r="I4" s="53" t="s">
        <v>157</v>
      </c>
      <c r="J4" s="53" t="s">
        <v>80</v>
      </c>
    </row>
    <row r="5" spans="1:10" ht="15" customHeight="1" x14ac:dyDescent="0.2">
      <c r="A5" s="366" t="s">
        <v>158</v>
      </c>
      <c r="B5" s="366"/>
      <c r="C5" s="366"/>
      <c r="D5" s="366"/>
      <c r="E5" s="366"/>
      <c r="F5" s="366"/>
      <c r="G5" s="366"/>
      <c r="H5" s="366"/>
      <c r="I5" s="366"/>
      <c r="J5" s="366"/>
    </row>
    <row r="6" spans="1:10" ht="19.5" customHeight="1" x14ac:dyDescent="0.2">
      <c r="A6" s="54">
        <v>1</v>
      </c>
      <c r="B6" s="54" t="s">
        <v>159</v>
      </c>
      <c r="C6" s="54" t="s">
        <v>160</v>
      </c>
      <c r="D6" s="54" t="s">
        <v>161</v>
      </c>
      <c r="E6" s="54" t="s">
        <v>162</v>
      </c>
      <c r="F6" s="54" t="s">
        <v>163</v>
      </c>
      <c r="G6" s="55">
        <v>226.67</v>
      </c>
      <c r="H6" s="55">
        <f t="shared" ref="H6:H19" si="0">G6*12</f>
        <v>2720.04</v>
      </c>
      <c r="I6" s="54" t="s">
        <v>164</v>
      </c>
      <c r="J6" s="54" t="s">
        <v>165</v>
      </c>
    </row>
    <row r="7" spans="1:10" ht="19.5" customHeight="1" x14ac:dyDescent="0.2">
      <c r="A7" s="54">
        <v>2</v>
      </c>
      <c r="B7" s="54" t="s">
        <v>166</v>
      </c>
      <c r="C7" s="54" t="s">
        <v>160</v>
      </c>
      <c r="D7" s="54" t="s">
        <v>161</v>
      </c>
      <c r="E7" s="54" t="s">
        <v>162</v>
      </c>
      <c r="F7" s="54" t="s">
        <v>163</v>
      </c>
      <c r="G7" s="55">
        <v>226.67</v>
      </c>
      <c r="H7" s="55">
        <f t="shared" si="0"/>
        <v>2720.04</v>
      </c>
      <c r="I7" s="54" t="s">
        <v>164</v>
      </c>
      <c r="J7" s="54" t="s">
        <v>167</v>
      </c>
    </row>
    <row r="8" spans="1:10" ht="19.5" customHeight="1" x14ac:dyDescent="0.2">
      <c r="A8" s="54">
        <v>3</v>
      </c>
      <c r="B8" s="54" t="s">
        <v>168</v>
      </c>
      <c r="C8" s="54" t="s">
        <v>160</v>
      </c>
      <c r="D8" s="54" t="s">
        <v>161</v>
      </c>
      <c r="E8" s="54" t="s">
        <v>162</v>
      </c>
      <c r="F8" s="54" t="s">
        <v>169</v>
      </c>
      <c r="G8" s="55">
        <v>2193.63</v>
      </c>
      <c r="H8" s="55">
        <f t="shared" si="0"/>
        <v>26323.56</v>
      </c>
      <c r="I8" s="54" t="s">
        <v>164</v>
      </c>
      <c r="J8" s="54" t="s">
        <v>170</v>
      </c>
    </row>
    <row r="9" spans="1:10" ht="19.5" customHeight="1" x14ac:dyDescent="0.2">
      <c r="A9" s="54">
        <v>4</v>
      </c>
      <c r="B9" s="54" t="s">
        <v>171</v>
      </c>
      <c r="C9" s="54" t="s">
        <v>160</v>
      </c>
      <c r="D9" s="54" t="s">
        <v>161</v>
      </c>
      <c r="E9" s="54" t="s">
        <v>162</v>
      </c>
      <c r="F9" s="54" t="s">
        <v>172</v>
      </c>
      <c r="G9" s="55">
        <v>2270.91</v>
      </c>
      <c r="H9" s="55">
        <f t="shared" si="0"/>
        <v>27250.92</v>
      </c>
      <c r="I9" s="54" t="s">
        <v>164</v>
      </c>
      <c r="J9" s="54" t="s">
        <v>173</v>
      </c>
    </row>
    <row r="10" spans="1:10" ht="19.5" customHeight="1" x14ac:dyDescent="0.2">
      <c r="A10" s="54">
        <v>5</v>
      </c>
      <c r="B10" s="54" t="s">
        <v>174</v>
      </c>
      <c r="C10" s="54" t="s">
        <v>160</v>
      </c>
      <c r="D10" s="54" t="s">
        <v>161</v>
      </c>
      <c r="E10" s="54" t="s">
        <v>162</v>
      </c>
      <c r="F10" s="54" t="s">
        <v>175</v>
      </c>
      <c r="G10" s="55">
        <v>2301.86</v>
      </c>
      <c r="H10" s="55">
        <f t="shared" si="0"/>
        <v>27622.32</v>
      </c>
      <c r="I10" s="54" t="s">
        <v>164</v>
      </c>
      <c r="J10" s="54" t="s">
        <v>176</v>
      </c>
    </row>
    <row r="11" spans="1:10" ht="19.5" customHeight="1" x14ac:dyDescent="0.2">
      <c r="A11" s="54">
        <v>6</v>
      </c>
      <c r="B11" s="54" t="s">
        <v>177</v>
      </c>
      <c r="C11" s="54" t="s">
        <v>160</v>
      </c>
      <c r="D11" s="54" t="s">
        <v>161</v>
      </c>
      <c r="E11" s="54" t="s">
        <v>162</v>
      </c>
      <c r="F11" s="54" t="s">
        <v>178</v>
      </c>
      <c r="G11" s="55">
        <v>382.08</v>
      </c>
      <c r="H11" s="55">
        <f t="shared" si="0"/>
        <v>4584.96</v>
      </c>
      <c r="I11" s="54" t="s">
        <v>164</v>
      </c>
      <c r="J11" s="54" t="s">
        <v>179</v>
      </c>
    </row>
    <row r="12" spans="1:10" ht="19.5" customHeight="1" x14ac:dyDescent="0.2">
      <c r="A12" s="54">
        <v>7</v>
      </c>
      <c r="B12" s="54" t="s">
        <v>180</v>
      </c>
      <c r="C12" s="54" t="s">
        <v>160</v>
      </c>
      <c r="D12" s="54" t="s">
        <v>181</v>
      </c>
      <c r="E12" s="54" t="s">
        <v>162</v>
      </c>
      <c r="F12" s="54" t="s">
        <v>169</v>
      </c>
      <c r="G12" s="55">
        <v>830.11</v>
      </c>
      <c r="H12" s="55">
        <f t="shared" si="0"/>
        <v>9961.32</v>
      </c>
      <c r="I12" s="54" t="s">
        <v>164</v>
      </c>
      <c r="J12" s="54" t="s">
        <v>182</v>
      </c>
    </row>
    <row r="13" spans="1:10" ht="19.5" customHeight="1" x14ac:dyDescent="0.2">
      <c r="A13" s="54">
        <v>8</v>
      </c>
      <c r="B13" s="54" t="s">
        <v>183</v>
      </c>
      <c r="C13" s="54" t="s">
        <v>160</v>
      </c>
      <c r="D13" s="54" t="s">
        <v>181</v>
      </c>
      <c r="E13" s="54" t="s">
        <v>162</v>
      </c>
      <c r="F13" s="54" t="s">
        <v>184</v>
      </c>
      <c r="G13" s="55">
        <v>598.01</v>
      </c>
      <c r="H13" s="55">
        <f t="shared" si="0"/>
        <v>7176.12</v>
      </c>
      <c r="I13" s="54" t="s">
        <v>164</v>
      </c>
      <c r="J13" s="54" t="s">
        <v>185</v>
      </c>
    </row>
    <row r="14" spans="1:10" ht="19.5" customHeight="1" x14ac:dyDescent="0.2">
      <c r="A14" s="54">
        <v>9</v>
      </c>
      <c r="B14" s="54" t="s">
        <v>186</v>
      </c>
      <c r="C14" s="54" t="s">
        <v>160</v>
      </c>
      <c r="D14" s="54" t="s">
        <v>181</v>
      </c>
      <c r="E14" s="54" t="s">
        <v>162</v>
      </c>
      <c r="F14" s="54" t="s">
        <v>184</v>
      </c>
      <c r="G14" s="55">
        <v>479.45</v>
      </c>
      <c r="H14" s="55">
        <f t="shared" si="0"/>
        <v>5753.4</v>
      </c>
      <c r="I14" s="54" t="s">
        <v>164</v>
      </c>
      <c r="J14" s="54" t="s">
        <v>187</v>
      </c>
    </row>
    <row r="15" spans="1:10" ht="19.5" customHeight="1" x14ac:dyDescent="0.2">
      <c r="A15" s="54">
        <v>10</v>
      </c>
      <c r="B15" s="54" t="s">
        <v>188</v>
      </c>
      <c r="C15" s="54" t="s">
        <v>160</v>
      </c>
      <c r="D15" s="54" t="s">
        <v>181</v>
      </c>
      <c r="E15" s="54" t="s">
        <v>162</v>
      </c>
      <c r="F15" s="54" t="s">
        <v>184</v>
      </c>
      <c r="G15" s="55">
        <v>511.37</v>
      </c>
      <c r="H15" s="55">
        <f t="shared" si="0"/>
        <v>6136.4400000000005</v>
      </c>
      <c r="I15" s="54" t="s">
        <v>164</v>
      </c>
      <c r="J15" s="54" t="s">
        <v>189</v>
      </c>
    </row>
    <row r="16" spans="1:10" ht="19.5" customHeight="1" x14ac:dyDescent="0.2">
      <c r="A16" s="54">
        <v>11</v>
      </c>
      <c r="B16" s="54" t="s">
        <v>190</v>
      </c>
      <c r="C16" s="54" t="s">
        <v>160</v>
      </c>
      <c r="D16" s="54" t="s">
        <v>161</v>
      </c>
      <c r="E16" s="54" t="s">
        <v>162</v>
      </c>
      <c r="F16" s="54" t="s">
        <v>178</v>
      </c>
      <c r="G16" s="55">
        <v>190.96</v>
      </c>
      <c r="H16" s="55">
        <f t="shared" si="0"/>
        <v>2291.52</v>
      </c>
      <c r="I16" s="54" t="s">
        <v>164</v>
      </c>
      <c r="J16" s="54" t="s">
        <v>191</v>
      </c>
    </row>
    <row r="17" spans="1:10" ht="19.5" customHeight="1" x14ac:dyDescent="0.2">
      <c r="A17" s="54">
        <v>12</v>
      </c>
      <c r="B17" s="54" t="s">
        <v>192</v>
      </c>
      <c r="C17" s="54" t="s">
        <v>160</v>
      </c>
      <c r="D17" s="54" t="s">
        <v>161</v>
      </c>
      <c r="E17" s="54" t="s">
        <v>162</v>
      </c>
      <c r="F17" s="54" t="s">
        <v>193</v>
      </c>
      <c r="G17" s="55">
        <v>168.73</v>
      </c>
      <c r="H17" s="55">
        <f t="shared" si="0"/>
        <v>2024.7599999999998</v>
      </c>
      <c r="I17" s="54" t="s">
        <v>164</v>
      </c>
      <c r="J17" s="54" t="s">
        <v>194</v>
      </c>
    </row>
    <row r="18" spans="1:10" ht="19.5" customHeight="1" x14ac:dyDescent="0.2">
      <c r="A18" s="54">
        <v>13</v>
      </c>
      <c r="B18" s="54" t="s">
        <v>195</v>
      </c>
      <c r="C18" s="54" t="s">
        <v>160</v>
      </c>
      <c r="D18" s="54" t="s">
        <v>161</v>
      </c>
      <c r="E18" s="54" t="s">
        <v>162</v>
      </c>
      <c r="F18" s="54" t="s">
        <v>178</v>
      </c>
      <c r="G18" s="55">
        <v>379.34</v>
      </c>
      <c r="H18" s="55">
        <f t="shared" si="0"/>
        <v>4552.08</v>
      </c>
      <c r="I18" s="54" t="s">
        <v>164</v>
      </c>
      <c r="J18" s="54" t="s">
        <v>196</v>
      </c>
    </row>
    <row r="19" spans="1:10" ht="19.5" customHeight="1" x14ac:dyDescent="0.2">
      <c r="A19" s="54">
        <v>14</v>
      </c>
      <c r="B19" s="54" t="s">
        <v>197</v>
      </c>
      <c r="C19" s="54" t="s">
        <v>160</v>
      </c>
      <c r="D19" s="54" t="s">
        <v>161</v>
      </c>
      <c r="E19" s="54" t="s">
        <v>162</v>
      </c>
      <c r="F19" s="54" t="s">
        <v>169</v>
      </c>
      <c r="G19" s="55">
        <v>276.68</v>
      </c>
      <c r="H19" s="55">
        <f t="shared" si="0"/>
        <v>3320.16</v>
      </c>
      <c r="I19" s="54" t="s">
        <v>164</v>
      </c>
      <c r="J19" s="54" t="s">
        <v>198</v>
      </c>
    </row>
    <row r="20" spans="1:10" ht="15" customHeight="1" x14ac:dyDescent="0.2">
      <c r="A20" s="366" t="s">
        <v>199</v>
      </c>
      <c r="B20" s="366"/>
      <c r="C20" s="366"/>
      <c r="D20" s="366"/>
      <c r="E20" s="366"/>
      <c r="F20" s="366"/>
      <c r="G20" s="366"/>
      <c r="H20" s="366"/>
      <c r="I20" s="366"/>
      <c r="J20" s="366"/>
    </row>
    <row r="21" spans="1:10" ht="19.5" customHeight="1" x14ac:dyDescent="0.2">
      <c r="A21" s="54">
        <v>15</v>
      </c>
      <c r="B21" s="54" t="s">
        <v>200</v>
      </c>
      <c r="C21" s="54" t="s">
        <v>160</v>
      </c>
      <c r="D21" s="54" t="s">
        <v>201</v>
      </c>
      <c r="E21" s="54" t="s">
        <v>162</v>
      </c>
      <c r="F21" s="54" t="s">
        <v>202</v>
      </c>
      <c r="G21" s="55">
        <v>139.53</v>
      </c>
      <c r="H21" s="55">
        <f t="shared" ref="H21:H30" si="1">G21*12</f>
        <v>1674.3600000000001</v>
      </c>
      <c r="I21" s="54" t="s">
        <v>164</v>
      </c>
      <c r="J21" s="54" t="s">
        <v>203</v>
      </c>
    </row>
    <row r="22" spans="1:10" ht="19.5" customHeight="1" x14ac:dyDescent="0.2">
      <c r="A22" s="54">
        <v>16</v>
      </c>
      <c r="B22" s="54" t="s">
        <v>204</v>
      </c>
      <c r="C22" s="54" t="s">
        <v>160</v>
      </c>
      <c r="D22" s="54" t="s">
        <v>205</v>
      </c>
      <c r="E22" s="54" t="s">
        <v>162</v>
      </c>
      <c r="F22" s="54" t="s">
        <v>206</v>
      </c>
      <c r="G22" s="55">
        <v>24.41</v>
      </c>
      <c r="H22" s="55">
        <f t="shared" si="1"/>
        <v>292.92</v>
      </c>
      <c r="I22" s="54" t="s">
        <v>164</v>
      </c>
      <c r="J22" s="54" t="s">
        <v>207</v>
      </c>
    </row>
    <row r="23" spans="1:10" ht="19.5" customHeight="1" x14ac:dyDescent="0.2">
      <c r="A23" s="54">
        <v>17</v>
      </c>
      <c r="B23" s="54" t="s">
        <v>208</v>
      </c>
      <c r="C23" s="54" t="s">
        <v>160</v>
      </c>
      <c r="D23" s="54" t="s">
        <v>205</v>
      </c>
      <c r="E23" s="54" t="s">
        <v>162</v>
      </c>
      <c r="F23" s="54" t="s">
        <v>209</v>
      </c>
      <c r="G23" s="55">
        <v>51.48</v>
      </c>
      <c r="H23" s="55">
        <f t="shared" si="1"/>
        <v>617.76</v>
      </c>
      <c r="I23" s="54" t="s">
        <v>164</v>
      </c>
      <c r="J23" s="54" t="s">
        <v>210</v>
      </c>
    </row>
    <row r="24" spans="1:10" ht="19.5" customHeight="1" x14ac:dyDescent="0.2">
      <c r="A24" s="54">
        <v>18</v>
      </c>
      <c r="B24" s="54" t="s">
        <v>211</v>
      </c>
      <c r="C24" s="54" t="s">
        <v>160</v>
      </c>
      <c r="D24" s="54" t="s">
        <v>201</v>
      </c>
      <c r="E24" s="54" t="s">
        <v>162</v>
      </c>
      <c r="F24" s="54" t="s">
        <v>202</v>
      </c>
      <c r="G24" s="55">
        <v>98.9</v>
      </c>
      <c r="H24" s="55">
        <f t="shared" si="1"/>
        <v>1186.8000000000002</v>
      </c>
      <c r="I24" s="54" t="s">
        <v>164</v>
      </c>
      <c r="J24" s="54" t="s">
        <v>212</v>
      </c>
    </row>
    <row r="25" spans="1:10" ht="19.5" customHeight="1" x14ac:dyDescent="0.2">
      <c r="A25" s="54">
        <v>19</v>
      </c>
      <c r="B25" s="54" t="s">
        <v>213</v>
      </c>
      <c r="C25" s="54" t="s">
        <v>160</v>
      </c>
      <c r="D25" s="54" t="s">
        <v>201</v>
      </c>
      <c r="E25" s="54" t="s">
        <v>162</v>
      </c>
      <c r="F25" s="54" t="s">
        <v>202</v>
      </c>
      <c r="G25" s="55">
        <v>93.78</v>
      </c>
      <c r="H25" s="55">
        <f t="shared" si="1"/>
        <v>1125.3600000000001</v>
      </c>
      <c r="I25" s="54" t="s">
        <v>164</v>
      </c>
      <c r="J25" s="54" t="s">
        <v>214</v>
      </c>
    </row>
    <row r="26" spans="1:10" ht="19.5" customHeight="1" x14ac:dyDescent="0.2">
      <c r="A26" s="54">
        <v>20</v>
      </c>
      <c r="B26" s="54" t="s">
        <v>215</v>
      </c>
      <c r="C26" s="54" t="s">
        <v>160</v>
      </c>
      <c r="D26" s="54" t="s">
        <v>205</v>
      </c>
      <c r="E26" s="54" t="s">
        <v>162</v>
      </c>
      <c r="F26" s="54" t="s">
        <v>209</v>
      </c>
      <c r="G26" s="55">
        <v>49.82</v>
      </c>
      <c r="H26" s="55">
        <f t="shared" si="1"/>
        <v>597.84</v>
      </c>
      <c r="I26" s="54" t="s">
        <v>164</v>
      </c>
      <c r="J26" s="54" t="s">
        <v>216</v>
      </c>
    </row>
    <row r="27" spans="1:10" ht="19.5" customHeight="1" x14ac:dyDescent="0.2">
      <c r="A27" s="54">
        <v>21</v>
      </c>
      <c r="B27" s="54" t="s">
        <v>217</v>
      </c>
      <c r="C27" s="54" t="s">
        <v>160</v>
      </c>
      <c r="D27" s="54" t="s">
        <v>205</v>
      </c>
      <c r="E27" s="54" t="s">
        <v>162</v>
      </c>
      <c r="F27" s="54" t="s">
        <v>218</v>
      </c>
      <c r="G27" s="55">
        <v>138.08000000000001</v>
      </c>
      <c r="H27" s="55">
        <f t="shared" si="1"/>
        <v>1656.96</v>
      </c>
      <c r="I27" s="54" t="s">
        <v>164</v>
      </c>
      <c r="J27" s="54" t="s">
        <v>219</v>
      </c>
    </row>
    <row r="28" spans="1:10" ht="19.5" customHeight="1" x14ac:dyDescent="0.2">
      <c r="A28" s="54">
        <v>22</v>
      </c>
      <c r="B28" s="54" t="s">
        <v>220</v>
      </c>
      <c r="C28" s="54" t="s">
        <v>160</v>
      </c>
      <c r="D28" s="54" t="s">
        <v>205</v>
      </c>
      <c r="E28" s="54" t="s">
        <v>162</v>
      </c>
      <c r="F28" s="54" t="s">
        <v>184</v>
      </c>
      <c r="G28" s="55">
        <v>276.36</v>
      </c>
      <c r="H28" s="55">
        <f t="shared" si="1"/>
        <v>3316.32</v>
      </c>
      <c r="I28" s="54" t="s">
        <v>164</v>
      </c>
      <c r="J28" s="54" t="s">
        <v>221</v>
      </c>
    </row>
    <row r="29" spans="1:10" ht="19.5" customHeight="1" x14ac:dyDescent="0.2">
      <c r="A29" s="54">
        <v>23</v>
      </c>
      <c r="B29" s="54" t="s">
        <v>222</v>
      </c>
      <c r="C29" s="54" t="s">
        <v>160</v>
      </c>
      <c r="D29" s="54" t="s">
        <v>201</v>
      </c>
      <c r="E29" s="54" t="s">
        <v>162</v>
      </c>
      <c r="F29" s="54" t="s">
        <v>178</v>
      </c>
      <c r="G29" s="55">
        <v>141.15</v>
      </c>
      <c r="H29" s="55">
        <f t="shared" si="1"/>
        <v>1693.8000000000002</v>
      </c>
      <c r="I29" s="54" t="s">
        <v>164</v>
      </c>
      <c r="J29" s="54" t="s">
        <v>223</v>
      </c>
    </row>
    <row r="30" spans="1:10" ht="19.5" customHeight="1" x14ac:dyDescent="0.2">
      <c r="A30" s="54">
        <v>24</v>
      </c>
      <c r="B30" s="54" t="s">
        <v>224</v>
      </c>
      <c r="C30" s="54" t="s">
        <v>160</v>
      </c>
      <c r="D30" s="54" t="s">
        <v>201</v>
      </c>
      <c r="E30" s="54" t="s">
        <v>162</v>
      </c>
      <c r="F30" s="54" t="s">
        <v>175</v>
      </c>
      <c r="G30" s="55">
        <v>550.83000000000004</v>
      </c>
      <c r="H30" s="55">
        <f t="shared" si="1"/>
        <v>6609.9600000000009</v>
      </c>
      <c r="I30" s="54" t="s">
        <v>164</v>
      </c>
      <c r="J30" s="54" t="s">
        <v>225</v>
      </c>
    </row>
    <row r="31" spans="1:10" ht="15" customHeight="1" x14ac:dyDescent="0.2">
      <c r="A31" s="366" t="s">
        <v>226</v>
      </c>
      <c r="B31" s="366"/>
      <c r="C31" s="366"/>
      <c r="D31" s="366"/>
      <c r="E31" s="366"/>
      <c r="F31" s="366"/>
      <c r="G31" s="366"/>
      <c r="H31" s="366"/>
      <c r="I31" s="366"/>
      <c r="J31" s="366"/>
    </row>
    <row r="32" spans="1:10" ht="19.5" customHeight="1" x14ac:dyDescent="0.2">
      <c r="A32" s="54">
        <v>25</v>
      </c>
      <c r="B32" s="54" t="s">
        <v>227</v>
      </c>
      <c r="C32" s="54" t="s">
        <v>228</v>
      </c>
      <c r="D32" s="54" t="s">
        <v>229</v>
      </c>
      <c r="E32" s="54" t="s">
        <v>230</v>
      </c>
      <c r="F32" s="54" t="s">
        <v>163</v>
      </c>
      <c r="G32" s="55">
        <v>226.67</v>
      </c>
      <c r="H32" s="55">
        <f t="shared" ref="H32:H41" si="2">G32*12</f>
        <v>2720.04</v>
      </c>
      <c r="I32" s="54" t="s">
        <v>164</v>
      </c>
      <c r="J32" s="54" t="s">
        <v>231</v>
      </c>
    </row>
    <row r="33" spans="1:10" ht="19.5" customHeight="1" x14ac:dyDescent="0.2">
      <c r="A33" s="54">
        <v>26</v>
      </c>
      <c r="B33" s="54" t="s">
        <v>232</v>
      </c>
      <c r="C33" s="54" t="s">
        <v>228</v>
      </c>
      <c r="D33" s="54" t="s">
        <v>229</v>
      </c>
      <c r="E33" s="54" t="s">
        <v>230</v>
      </c>
      <c r="F33" s="54" t="s">
        <v>178</v>
      </c>
      <c r="G33" s="55">
        <v>1114.8</v>
      </c>
      <c r="H33" s="55">
        <f t="shared" si="2"/>
        <v>13377.599999999999</v>
      </c>
      <c r="I33" s="54" t="s">
        <v>164</v>
      </c>
      <c r="J33" s="54" t="s">
        <v>233</v>
      </c>
    </row>
    <row r="34" spans="1:10" ht="19.5" customHeight="1" x14ac:dyDescent="0.2">
      <c r="A34" s="54">
        <v>27</v>
      </c>
      <c r="B34" s="54" t="s">
        <v>234</v>
      </c>
      <c r="C34" s="54" t="s">
        <v>228</v>
      </c>
      <c r="D34" s="54" t="s">
        <v>229</v>
      </c>
      <c r="E34" s="54" t="s">
        <v>230</v>
      </c>
      <c r="F34" s="54" t="s">
        <v>184</v>
      </c>
      <c r="G34" s="55">
        <v>1221.95</v>
      </c>
      <c r="H34" s="55">
        <f t="shared" si="2"/>
        <v>14663.400000000001</v>
      </c>
      <c r="I34" s="54" t="s">
        <v>164</v>
      </c>
      <c r="J34" s="54" t="s">
        <v>235</v>
      </c>
    </row>
    <row r="35" spans="1:10" ht="19.5" customHeight="1" x14ac:dyDescent="0.2">
      <c r="A35" s="54">
        <v>28</v>
      </c>
      <c r="B35" s="54" t="s">
        <v>236</v>
      </c>
      <c r="C35" s="54" t="s">
        <v>228</v>
      </c>
      <c r="D35" s="54" t="s">
        <v>229</v>
      </c>
      <c r="E35" s="54" t="s">
        <v>230</v>
      </c>
      <c r="F35" s="54" t="s">
        <v>172</v>
      </c>
      <c r="G35" s="55">
        <v>3319.81</v>
      </c>
      <c r="H35" s="55">
        <f t="shared" si="2"/>
        <v>39837.72</v>
      </c>
      <c r="I35" s="54" t="s">
        <v>164</v>
      </c>
      <c r="J35" s="54" t="s">
        <v>237</v>
      </c>
    </row>
    <row r="36" spans="1:10" ht="19.5" customHeight="1" x14ac:dyDescent="0.2">
      <c r="A36" s="54">
        <v>29</v>
      </c>
      <c r="B36" s="54" t="s">
        <v>238</v>
      </c>
      <c r="C36" s="54" t="s">
        <v>228</v>
      </c>
      <c r="D36" s="54" t="s">
        <v>239</v>
      </c>
      <c r="E36" s="54" t="s">
        <v>230</v>
      </c>
      <c r="F36" s="54" t="s">
        <v>178</v>
      </c>
      <c r="G36" s="55">
        <v>477.84</v>
      </c>
      <c r="H36" s="55">
        <f t="shared" si="2"/>
        <v>5734.08</v>
      </c>
      <c r="I36" s="54" t="s">
        <v>164</v>
      </c>
      <c r="J36" s="54" t="s">
        <v>240</v>
      </c>
    </row>
    <row r="37" spans="1:10" ht="19.5" customHeight="1" x14ac:dyDescent="0.2">
      <c r="A37" s="54">
        <v>30</v>
      </c>
      <c r="B37" s="54" t="s">
        <v>241</v>
      </c>
      <c r="C37" s="54" t="s">
        <v>228</v>
      </c>
      <c r="D37" s="54" t="s">
        <v>239</v>
      </c>
      <c r="E37" s="54" t="s">
        <v>230</v>
      </c>
      <c r="F37" s="54" t="s">
        <v>184</v>
      </c>
      <c r="G37" s="55">
        <v>780.14</v>
      </c>
      <c r="H37" s="55">
        <f t="shared" si="2"/>
        <v>9361.68</v>
      </c>
      <c r="I37" s="54" t="s">
        <v>164</v>
      </c>
      <c r="J37" s="54" t="s">
        <v>242</v>
      </c>
    </row>
    <row r="38" spans="1:10" ht="19.5" customHeight="1" x14ac:dyDescent="0.2">
      <c r="A38" s="54">
        <v>31</v>
      </c>
      <c r="B38" s="54" t="s">
        <v>243</v>
      </c>
      <c r="C38" s="54" t="s">
        <v>228</v>
      </c>
      <c r="D38" s="54" t="s">
        <v>239</v>
      </c>
      <c r="E38" s="54" t="s">
        <v>230</v>
      </c>
      <c r="F38" s="54" t="s">
        <v>184</v>
      </c>
      <c r="G38" s="55">
        <v>609.84</v>
      </c>
      <c r="H38" s="55">
        <f t="shared" si="2"/>
        <v>7318.08</v>
      </c>
      <c r="I38" s="54" t="s">
        <v>164</v>
      </c>
      <c r="J38" s="54" t="s">
        <v>244</v>
      </c>
    </row>
    <row r="39" spans="1:10" ht="19.5" customHeight="1" x14ac:dyDescent="0.2">
      <c r="A39" s="54">
        <v>32</v>
      </c>
      <c r="B39" s="54" t="s">
        <v>245</v>
      </c>
      <c r="C39" s="54" t="s">
        <v>228</v>
      </c>
      <c r="D39" s="54" t="s">
        <v>239</v>
      </c>
      <c r="E39" s="54" t="s">
        <v>230</v>
      </c>
      <c r="F39" s="54" t="s">
        <v>246</v>
      </c>
      <c r="G39" s="55">
        <v>320.76</v>
      </c>
      <c r="H39" s="55">
        <f t="shared" si="2"/>
        <v>3849.12</v>
      </c>
      <c r="I39" s="54" t="s">
        <v>164</v>
      </c>
      <c r="J39" s="54" t="s">
        <v>247</v>
      </c>
    </row>
    <row r="40" spans="1:10" ht="19.5" customHeight="1" x14ac:dyDescent="0.2">
      <c r="A40" s="54">
        <v>33</v>
      </c>
      <c r="B40" s="54" t="s">
        <v>248</v>
      </c>
      <c r="C40" s="54" t="s">
        <v>228</v>
      </c>
      <c r="D40" s="54" t="s">
        <v>229</v>
      </c>
      <c r="E40" s="54" t="s">
        <v>230</v>
      </c>
      <c r="F40" s="54" t="s">
        <v>249</v>
      </c>
      <c r="G40" s="55">
        <v>119.46</v>
      </c>
      <c r="H40" s="55">
        <f t="shared" si="2"/>
        <v>1433.52</v>
      </c>
      <c r="I40" s="54" t="s">
        <v>164</v>
      </c>
      <c r="J40" s="54" t="s">
        <v>250</v>
      </c>
    </row>
    <row r="41" spans="1:10" ht="19.5" customHeight="1" x14ac:dyDescent="0.2">
      <c r="A41" s="54">
        <v>34</v>
      </c>
      <c r="B41" s="54" t="s">
        <v>251</v>
      </c>
      <c r="C41" s="54" t="s">
        <v>228</v>
      </c>
      <c r="D41" s="54" t="s">
        <v>229</v>
      </c>
      <c r="E41" s="54" t="s">
        <v>230</v>
      </c>
      <c r="F41" s="54" t="s">
        <v>178</v>
      </c>
      <c r="G41" s="55">
        <v>450.48</v>
      </c>
      <c r="H41" s="55">
        <f t="shared" si="2"/>
        <v>5405.76</v>
      </c>
      <c r="I41" s="54" t="s">
        <v>164</v>
      </c>
      <c r="J41" s="54" t="s">
        <v>252</v>
      </c>
    </row>
    <row r="42" spans="1:10" ht="15" customHeight="1" x14ac:dyDescent="0.2">
      <c r="A42" s="366" t="s">
        <v>253</v>
      </c>
      <c r="B42" s="366"/>
      <c r="C42" s="366"/>
      <c r="D42" s="366"/>
      <c r="E42" s="366"/>
      <c r="F42" s="366"/>
      <c r="G42" s="366"/>
      <c r="H42" s="366"/>
      <c r="I42" s="366"/>
      <c r="J42" s="366"/>
    </row>
    <row r="43" spans="1:10" ht="19.5" customHeight="1" x14ac:dyDescent="0.2">
      <c r="A43" s="54">
        <v>35</v>
      </c>
      <c r="B43" s="54" t="s">
        <v>254</v>
      </c>
      <c r="C43" s="54" t="s">
        <v>147</v>
      </c>
      <c r="D43" s="54" t="s">
        <v>255</v>
      </c>
      <c r="E43" s="54" t="s">
        <v>162</v>
      </c>
      <c r="F43" s="54" t="s">
        <v>178</v>
      </c>
      <c r="G43" s="55">
        <v>104.32</v>
      </c>
      <c r="H43" s="55">
        <f t="shared" ref="H43:H72" si="3">G43*12</f>
        <v>1251.8399999999999</v>
      </c>
      <c r="I43" s="54" t="s">
        <v>256</v>
      </c>
      <c r="J43" s="54" t="s">
        <v>257</v>
      </c>
    </row>
    <row r="44" spans="1:10" ht="19.5" customHeight="1" x14ac:dyDescent="0.2">
      <c r="A44" s="54">
        <v>36</v>
      </c>
      <c r="B44" s="54" t="s">
        <v>258</v>
      </c>
      <c r="C44" s="54" t="s">
        <v>147</v>
      </c>
      <c r="D44" s="54" t="s">
        <v>255</v>
      </c>
      <c r="E44" s="54" t="s">
        <v>162</v>
      </c>
      <c r="F44" s="54" t="s">
        <v>178</v>
      </c>
      <c r="G44" s="55">
        <v>99.76</v>
      </c>
      <c r="H44" s="55">
        <f t="shared" si="3"/>
        <v>1197.1200000000001</v>
      </c>
      <c r="I44" s="54" t="s">
        <v>256</v>
      </c>
      <c r="J44" s="54" t="s">
        <v>259</v>
      </c>
    </row>
    <row r="45" spans="1:10" ht="19.5" customHeight="1" x14ac:dyDescent="0.2">
      <c r="A45" s="54">
        <v>37</v>
      </c>
      <c r="B45" s="54" t="s">
        <v>260</v>
      </c>
      <c r="C45" s="54" t="s">
        <v>147</v>
      </c>
      <c r="D45" s="54" t="s">
        <v>255</v>
      </c>
      <c r="E45" s="54" t="s">
        <v>162</v>
      </c>
      <c r="F45" s="54" t="s">
        <v>178</v>
      </c>
      <c r="G45" s="55">
        <v>99.76</v>
      </c>
      <c r="H45" s="55">
        <f t="shared" si="3"/>
        <v>1197.1200000000001</v>
      </c>
      <c r="I45" s="54" t="s">
        <v>256</v>
      </c>
      <c r="J45" s="54" t="s">
        <v>261</v>
      </c>
    </row>
    <row r="46" spans="1:10" ht="19.5" customHeight="1" x14ac:dyDescent="0.2">
      <c r="A46" s="54">
        <v>38</v>
      </c>
      <c r="B46" s="54" t="s">
        <v>262</v>
      </c>
      <c r="C46" s="54" t="s">
        <v>147</v>
      </c>
      <c r="D46" s="54" t="s">
        <v>255</v>
      </c>
      <c r="E46" s="54" t="s">
        <v>162</v>
      </c>
      <c r="F46" s="54" t="s">
        <v>178</v>
      </c>
      <c r="G46" s="55">
        <v>99.76</v>
      </c>
      <c r="H46" s="55">
        <f t="shared" si="3"/>
        <v>1197.1200000000001</v>
      </c>
      <c r="I46" s="54" t="s">
        <v>256</v>
      </c>
      <c r="J46" s="54" t="s">
        <v>263</v>
      </c>
    </row>
    <row r="47" spans="1:10" ht="19.5" customHeight="1" x14ac:dyDescent="0.2">
      <c r="A47" s="54">
        <v>39</v>
      </c>
      <c r="B47" s="54" t="s">
        <v>264</v>
      </c>
      <c r="C47" s="54" t="s">
        <v>147</v>
      </c>
      <c r="D47" s="54" t="s">
        <v>255</v>
      </c>
      <c r="E47" s="54" t="s">
        <v>162</v>
      </c>
      <c r="F47" s="54" t="s">
        <v>249</v>
      </c>
      <c r="G47" s="55">
        <v>113.77</v>
      </c>
      <c r="H47" s="55">
        <f t="shared" si="3"/>
        <v>1365.24</v>
      </c>
      <c r="I47" s="54" t="s">
        <v>256</v>
      </c>
      <c r="J47" s="54" t="s">
        <v>265</v>
      </c>
    </row>
    <row r="48" spans="1:10" ht="19.5" customHeight="1" x14ac:dyDescent="0.2">
      <c r="A48" s="54">
        <v>40</v>
      </c>
      <c r="B48" s="54" t="s">
        <v>266</v>
      </c>
      <c r="C48" s="54" t="s">
        <v>147</v>
      </c>
      <c r="D48" s="54" t="s">
        <v>255</v>
      </c>
      <c r="E48" s="54" t="s">
        <v>162</v>
      </c>
      <c r="F48" s="54" t="s">
        <v>178</v>
      </c>
      <c r="G48" s="55">
        <v>99.76</v>
      </c>
      <c r="H48" s="55">
        <f t="shared" si="3"/>
        <v>1197.1200000000001</v>
      </c>
      <c r="I48" s="54" t="s">
        <v>256</v>
      </c>
      <c r="J48" s="54" t="s">
        <v>267</v>
      </c>
    </row>
    <row r="49" spans="1:10" ht="19.5" customHeight="1" x14ac:dyDescent="0.2">
      <c r="A49" s="54">
        <v>41</v>
      </c>
      <c r="B49" s="54" t="s">
        <v>268</v>
      </c>
      <c r="C49" s="54" t="s">
        <v>147</v>
      </c>
      <c r="D49" s="54" t="s">
        <v>255</v>
      </c>
      <c r="E49" s="54" t="s">
        <v>162</v>
      </c>
      <c r="F49" s="54" t="s">
        <v>178</v>
      </c>
      <c r="G49" s="55">
        <v>99.76</v>
      </c>
      <c r="H49" s="55">
        <f t="shared" si="3"/>
        <v>1197.1200000000001</v>
      </c>
      <c r="I49" s="54" t="s">
        <v>256</v>
      </c>
      <c r="J49" s="54" t="s">
        <v>269</v>
      </c>
    </row>
    <row r="50" spans="1:10" ht="19.5" customHeight="1" x14ac:dyDescent="0.2">
      <c r="A50" s="54">
        <v>42</v>
      </c>
      <c r="B50" s="54" t="s">
        <v>270</v>
      </c>
      <c r="C50" s="54" t="s">
        <v>147</v>
      </c>
      <c r="D50" s="54" t="s">
        <v>255</v>
      </c>
      <c r="E50" s="54" t="s">
        <v>162</v>
      </c>
      <c r="F50" s="54" t="s">
        <v>178</v>
      </c>
      <c r="G50" s="55">
        <v>99.76</v>
      </c>
      <c r="H50" s="55">
        <f t="shared" si="3"/>
        <v>1197.1200000000001</v>
      </c>
      <c r="I50" s="54" t="s">
        <v>256</v>
      </c>
      <c r="J50" s="54" t="s">
        <v>271</v>
      </c>
    </row>
    <row r="51" spans="1:10" ht="19.5" customHeight="1" x14ac:dyDescent="0.2">
      <c r="A51" s="54">
        <v>43</v>
      </c>
      <c r="B51" s="54" t="s">
        <v>272</v>
      </c>
      <c r="C51" s="54" t="s">
        <v>147</v>
      </c>
      <c r="D51" s="54" t="s">
        <v>255</v>
      </c>
      <c r="E51" s="54" t="s">
        <v>162</v>
      </c>
      <c r="F51" s="54" t="s">
        <v>178</v>
      </c>
      <c r="G51" s="55">
        <v>192.01</v>
      </c>
      <c r="H51" s="55">
        <f t="shared" si="3"/>
        <v>2304.12</v>
      </c>
      <c r="I51" s="54" t="s">
        <v>256</v>
      </c>
      <c r="J51" s="54" t="s">
        <v>273</v>
      </c>
    </row>
    <row r="52" spans="1:10" ht="19.5" customHeight="1" x14ac:dyDescent="0.2">
      <c r="A52" s="54">
        <v>44</v>
      </c>
      <c r="B52" s="54" t="s">
        <v>274</v>
      </c>
      <c r="C52" s="54" t="s">
        <v>147</v>
      </c>
      <c r="D52" s="54" t="s">
        <v>255</v>
      </c>
      <c r="E52" s="54" t="s">
        <v>162</v>
      </c>
      <c r="F52" s="54" t="s">
        <v>275</v>
      </c>
      <c r="G52" s="55">
        <v>10.130000000000001</v>
      </c>
      <c r="H52" s="55">
        <f t="shared" si="3"/>
        <v>121.56</v>
      </c>
      <c r="I52" s="54" t="s">
        <v>256</v>
      </c>
      <c r="J52" s="54" t="s">
        <v>276</v>
      </c>
    </row>
    <row r="53" spans="1:10" ht="19.5" customHeight="1" x14ac:dyDescent="0.2">
      <c r="A53" s="54">
        <v>45</v>
      </c>
      <c r="B53" s="54" t="s">
        <v>277</v>
      </c>
      <c r="C53" s="54" t="s">
        <v>147</v>
      </c>
      <c r="D53" s="54" t="s">
        <v>255</v>
      </c>
      <c r="E53" s="54" t="s">
        <v>162</v>
      </c>
      <c r="F53" s="54" t="s">
        <v>278</v>
      </c>
      <c r="G53" s="55">
        <v>71.209999999999994</v>
      </c>
      <c r="H53" s="55">
        <f t="shared" si="3"/>
        <v>854.52</v>
      </c>
      <c r="I53" s="54" t="s">
        <v>256</v>
      </c>
      <c r="J53" s="54" t="s">
        <v>279</v>
      </c>
    </row>
    <row r="54" spans="1:10" ht="19.5" customHeight="1" x14ac:dyDescent="0.2">
      <c r="A54" s="54">
        <v>46</v>
      </c>
      <c r="B54" s="54" t="s">
        <v>280</v>
      </c>
      <c r="C54" s="54" t="s">
        <v>147</v>
      </c>
      <c r="D54" s="54" t="s">
        <v>255</v>
      </c>
      <c r="E54" s="54" t="s">
        <v>162</v>
      </c>
      <c r="F54" s="54" t="s">
        <v>209</v>
      </c>
      <c r="G54" s="55">
        <v>77.180000000000007</v>
      </c>
      <c r="H54" s="55">
        <f t="shared" si="3"/>
        <v>926.16000000000008</v>
      </c>
      <c r="I54" s="54" t="s">
        <v>256</v>
      </c>
      <c r="J54" s="54" t="s">
        <v>281</v>
      </c>
    </row>
    <row r="55" spans="1:10" ht="19.5" customHeight="1" x14ac:dyDescent="0.2">
      <c r="A55" s="54">
        <v>47</v>
      </c>
      <c r="B55" s="54" t="s">
        <v>282</v>
      </c>
      <c r="C55" s="54" t="s">
        <v>147</v>
      </c>
      <c r="D55" s="54" t="s">
        <v>255</v>
      </c>
      <c r="E55" s="54" t="s">
        <v>162</v>
      </c>
      <c r="F55" s="54" t="s">
        <v>209</v>
      </c>
      <c r="G55" s="55">
        <v>77.180000000000007</v>
      </c>
      <c r="H55" s="55">
        <f t="shared" si="3"/>
        <v>926.16000000000008</v>
      </c>
      <c r="I55" s="54" t="s">
        <v>256</v>
      </c>
      <c r="J55" s="54" t="s">
        <v>281</v>
      </c>
    </row>
    <row r="56" spans="1:10" ht="19.5" customHeight="1" x14ac:dyDescent="0.2">
      <c r="A56" s="54">
        <v>48</v>
      </c>
      <c r="B56" s="54" t="s">
        <v>283</v>
      </c>
      <c r="C56" s="54" t="s">
        <v>147</v>
      </c>
      <c r="D56" s="54" t="s">
        <v>284</v>
      </c>
      <c r="E56" s="54" t="s">
        <v>162</v>
      </c>
      <c r="F56" s="54" t="s">
        <v>285</v>
      </c>
      <c r="G56" s="55">
        <v>459.9</v>
      </c>
      <c r="H56" s="55">
        <f t="shared" si="3"/>
        <v>5518.7999999999993</v>
      </c>
      <c r="I56" s="54" t="s">
        <v>256</v>
      </c>
      <c r="J56" s="54" t="s">
        <v>286</v>
      </c>
    </row>
    <row r="57" spans="1:10" ht="19.5" customHeight="1" x14ac:dyDescent="0.2">
      <c r="A57" s="54">
        <v>49</v>
      </c>
      <c r="B57" s="54" t="s">
        <v>287</v>
      </c>
      <c r="C57" s="54" t="s">
        <v>147</v>
      </c>
      <c r="D57" s="54" t="s">
        <v>288</v>
      </c>
      <c r="E57" s="54" t="s">
        <v>162</v>
      </c>
      <c r="F57" s="54" t="s">
        <v>289</v>
      </c>
      <c r="G57" s="55">
        <v>657.89</v>
      </c>
      <c r="H57" s="55">
        <f t="shared" si="3"/>
        <v>7894.68</v>
      </c>
      <c r="I57" s="54" t="s">
        <v>256</v>
      </c>
      <c r="J57" s="54" t="s">
        <v>290</v>
      </c>
    </row>
    <row r="58" spans="1:10" ht="19.5" customHeight="1" x14ac:dyDescent="0.2">
      <c r="A58" s="54">
        <v>50</v>
      </c>
      <c r="B58" s="54" t="s">
        <v>291</v>
      </c>
      <c r="C58" s="54" t="s">
        <v>147</v>
      </c>
      <c r="D58" s="54" t="s">
        <v>284</v>
      </c>
      <c r="E58" s="54" t="s">
        <v>162</v>
      </c>
      <c r="F58" s="54" t="s">
        <v>292</v>
      </c>
      <c r="G58" s="55">
        <v>56.77</v>
      </c>
      <c r="H58" s="55">
        <f t="shared" si="3"/>
        <v>681.24</v>
      </c>
      <c r="I58" s="54" t="s">
        <v>256</v>
      </c>
      <c r="J58" s="54" t="s">
        <v>293</v>
      </c>
    </row>
    <row r="59" spans="1:10" ht="19.5" customHeight="1" x14ac:dyDescent="0.2">
      <c r="A59" s="54">
        <v>51</v>
      </c>
      <c r="B59" s="54" t="s">
        <v>294</v>
      </c>
      <c r="C59" s="54" t="s">
        <v>147</v>
      </c>
      <c r="D59" s="54" t="s">
        <v>295</v>
      </c>
      <c r="E59" s="54" t="s">
        <v>162</v>
      </c>
      <c r="F59" s="54" t="s">
        <v>296</v>
      </c>
      <c r="G59" s="55">
        <v>41.76</v>
      </c>
      <c r="H59" s="55">
        <f t="shared" si="3"/>
        <v>501.12</v>
      </c>
      <c r="I59" s="54" t="s">
        <v>256</v>
      </c>
      <c r="J59" s="54" t="s">
        <v>297</v>
      </c>
    </row>
    <row r="60" spans="1:10" ht="19.5" customHeight="1" x14ac:dyDescent="0.2">
      <c r="A60" s="54">
        <v>52</v>
      </c>
      <c r="B60" s="54" t="s">
        <v>298</v>
      </c>
      <c r="C60" s="54" t="s">
        <v>147</v>
      </c>
      <c r="D60" s="54" t="s">
        <v>284</v>
      </c>
      <c r="E60" s="54" t="s">
        <v>162</v>
      </c>
      <c r="F60" s="54" t="s">
        <v>299</v>
      </c>
      <c r="G60" s="55">
        <v>1.76</v>
      </c>
      <c r="H60" s="55">
        <f t="shared" si="3"/>
        <v>21.12</v>
      </c>
      <c r="I60" s="54" t="s">
        <v>256</v>
      </c>
      <c r="J60" s="54" t="s">
        <v>300</v>
      </c>
    </row>
    <row r="61" spans="1:10" ht="19.5" customHeight="1" x14ac:dyDescent="0.2">
      <c r="A61" s="54">
        <v>53</v>
      </c>
      <c r="B61" s="54" t="s">
        <v>301</v>
      </c>
      <c r="C61" s="54" t="s">
        <v>147</v>
      </c>
      <c r="D61" s="54" t="s">
        <v>295</v>
      </c>
      <c r="E61" s="54" t="s">
        <v>162</v>
      </c>
      <c r="F61" s="54" t="s">
        <v>302</v>
      </c>
      <c r="G61" s="55">
        <v>775.37</v>
      </c>
      <c r="H61" s="55">
        <f t="shared" si="3"/>
        <v>9304.44</v>
      </c>
      <c r="I61" s="54" t="s">
        <v>256</v>
      </c>
      <c r="J61" s="54" t="s">
        <v>295</v>
      </c>
    </row>
    <row r="62" spans="1:10" ht="19.5" customHeight="1" x14ac:dyDescent="0.2">
      <c r="A62" s="54">
        <v>54</v>
      </c>
      <c r="B62" s="54" t="s">
        <v>303</v>
      </c>
      <c r="C62" s="54" t="s">
        <v>147</v>
      </c>
      <c r="D62" s="54" t="s">
        <v>304</v>
      </c>
      <c r="E62" s="54" t="s">
        <v>162</v>
      </c>
      <c r="F62" s="54" t="s">
        <v>305</v>
      </c>
      <c r="G62" s="55">
        <v>224.4</v>
      </c>
      <c r="H62" s="55">
        <f t="shared" si="3"/>
        <v>2692.8</v>
      </c>
      <c r="I62" s="54" t="s">
        <v>256</v>
      </c>
      <c r="J62" s="54" t="s">
        <v>306</v>
      </c>
    </row>
    <row r="63" spans="1:10" ht="19.5" customHeight="1" x14ac:dyDescent="0.2">
      <c r="A63" s="54">
        <v>55</v>
      </c>
      <c r="B63" s="54" t="s">
        <v>307</v>
      </c>
      <c r="C63" s="54" t="s">
        <v>147</v>
      </c>
      <c r="D63" s="54" t="s">
        <v>308</v>
      </c>
      <c r="E63" s="54" t="s">
        <v>162</v>
      </c>
      <c r="F63" s="54" t="s">
        <v>309</v>
      </c>
      <c r="G63" s="55">
        <v>179.04</v>
      </c>
      <c r="H63" s="55">
        <f t="shared" si="3"/>
        <v>2148.48</v>
      </c>
      <c r="I63" s="54" t="s">
        <v>256</v>
      </c>
      <c r="J63" s="54" t="s">
        <v>308</v>
      </c>
    </row>
    <row r="64" spans="1:10" ht="19.5" customHeight="1" x14ac:dyDescent="0.2">
      <c r="A64" s="54">
        <v>56</v>
      </c>
      <c r="B64" s="54" t="s">
        <v>310</v>
      </c>
      <c r="C64" s="54" t="s">
        <v>147</v>
      </c>
      <c r="D64" s="54" t="s">
        <v>310</v>
      </c>
      <c r="E64" s="54" t="s">
        <v>162</v>
      </c>
      <c r="F64" s="54" t="s">
        <v>311</v>
      </c>
      <c r="G64" s="55">
        <v>235.38</v>
      </c>
      <c r="H64" s="55">
        <f t="shared" si="3"/>
        <v>2824.56</v>
      </c>
      <c r="I64" s="54" t="s">
        <v>256</v>
      </c>
      <c r="J64" s="54" t="s">
        <v>310</v>
      </c>
    </row>
    <row r="65" spans="1:10" ht="19.5" customHeight="1" x14ac:dyDescent="0.2">
      <c r="A65" s="54">
        <v>57</v>
      </c>
      <c r="B65" s="54" t="s">
        <v>312</v>
      </c>
      <c r="C65" s="54" t="s">
        <v>147</v>
      </c>
      <c r="D65" s="54" t="s">
        <v>113</v>
      </c>
      <c r="E65" s="54" t="s">
        <v>230</v>
      </c>
      <c r="F65" s="54" t="s">
        <v>313</v>
      </c>
      <c r="G65" s="55">
        <v>951.78</v>
      </c>
      <c r="H65" s="55">
        <f t="shared" si="3"/>
        <v>11421.36</v>
      </c>
      <c r="I65" s="54" t="s">
        <v>256</v>
      </c>
      <c r="J65" s="54" t="s">
        <v>314</v>
      </c>
    </row>
    <row r="66" spans="1:10" ht="19.5" customHeight="1" x14ac:dyDescent="0.2">
      <c r="A66" s="54">
        <v>58</v>
      </c>
      <c r="B66" s="54" t="s">
        <v>315</v>
      </c>
      <c r="C66" s="54" t="s">
        <v>147</v>
      </c>
      <c r="D66" s="54" t="s">
        <v>113</v>
      </c>
      <c r="E66" s="54" t="s">
        <v>230</v>
      </c>
      <c r="F66" s="54" t="s">
        <v>310</v>
      </c>
      <c r="G66" s="55">
        <v>25</v>
      </c>
      <c r="H66" s="55">
        <f t="shared" si="3"/>
        <v>300</v>
      </c>
      <c r="I66" s="54" t="s">
        <v>256</v>
      </c>
      <c r="J66" s="54" t="s">
        <v>315</v>
      </c>
    </row>
    <row r="67" spans="1:10" ht="19.5" customHeight="1" x14ac:dyDescent="0.2">
      <c r="A67" s="54">
        <v>59</v>
      </c>
      <c r="B67" s="54" t="s">
        <v>316</v>
      </c>
      <c r="C67" s="54" t="s">
        <v>147</v>
      </c>
      <c r="D67" s="54" t="s">
        <v>113</v>
      </c>
      <c r="E67" s="54" t="s">
        <v>230</v>
      </c>
      <c r="F67" s="54" t="s">
        <v>317</v>
      </c>
      <c r="G67" s="55">
        <v>657.89</v>
      </c>
      <c r="H67" s="55">
        <f t="shared" si="3"/>
        <v>7894.68</v>
      </c>
      <c r="I67" s="54" t="s">
        <v>256</v>
      </c>
      <c r="J67" s="54" t="s">
        <v>318</v>
      </c>
    </row>
    <row r="68" spans="1:10" ht="19.5" customHeight="1" x14ac:dyDescent="0.2">
      <c r="A68" s="54">
        <v>60</v>
      </c>
      <c r="B68" s="54" t="s">
        <v>319</v>
      </c>
      <c r="C68" s="54" t="s">
        <v>147</v>
      </c>
      <c r="D68" s="54" t="s">
        <v>113</v>
      </c>
      <c r="E68" s="54" t="s">
        <v>230</v>
      </c>
      <c r="F68" s="54" t="s">
        <v>292</v>
      </c>
      <c r="G68" s="55">
        <v>81.59</v>
      </c>
      <c r="H68" s="55">
        <f t="shared" si="3"/>
        <v>979.08</v>
      </c>
      <c r="I68" s="54" t="s">
        <v>256</v>
      </c>
      <c r="J68" s="54" t="s">
        <v>320</v>
      </c>
    </row>
    <row r="69" spans="1:10" ht="19.5" customHeight="1" x14ac:dyDescent="0.2">
      <c r="A69" s="54">
        <v>61</v>
      </c>
      <c r="B69" s="54" t="s">
        <v>321</v>
      </c>
      <c r="C69" s="54" t="s">
        <v>147</v>
      </c>
      <c r="D69" s="54" t="s">
        <v>113</v>
      </c>
      <c r="E69" s="54" t="s">
        <v>230</v>
      </c>
      <c r="F69" s="54" t="s">
        <v>296</v>
      </c>
      <c r="G69" s="55">
        <v>41.76</v>
      </c>
      <c r="H69" s="55">
        <f t="shared" si="3"/>
        <v>501.12</v>
      </c>
      <c r="I69" s="54" t="s">
        <v>256</v>
      </c>
      <c r="J69" s="54" t="s">
        <v>322</v>
      </c>
    </row>
    <row r="70" spans="1:10" ht="19.5" customHeight="1" x14ac:dyDescent="0.2">
      <c r="A70" s="54">
        <v>62</v>
      </c>
      <c r="B70" s="54" t="s">
        <v>323</v>
      </c>
      <c r="C70" s="54" t="s">
        <v>147</v>
      </c>
      <c r="D70" s="54" t="s">
        <v>113</v>
      </c>
      <c r="E70" s="54" t="s">
        <v>230</v>
      </c>
      <c r="F70" s="54" t="s">
        <v>305</v>
      </c>
      <c r="G70" s="55">
        <v>224.4</v>
      </c>
      <c r="H70" s="55">
        <f t="shared" si="3"/>
        <v>2692.8</v>
      </c>
      <c r="I70" s="54" t="s">
        <v>256</v>
      </c>
      <c r="J70" s="54" t="s">
        <v>324</v>
      </c>
    </row>
    <row r="71" spans="1:10" ht="19.5" customHeight="1" x14ac:dyDescent="0.2">
      <c r="A71" s="54">
        <v>63</v>
      </c>
      <c r="B71" s="54" t="s">
        <v>325</v>
      </c>
      <c r="C71" s="54" t="s">
        <v>147</v>
      </c>
      <c r="D71" s="54" t="s">
        <v>113</v>
      </c>
      <c r="E71" s="54" t="s">
        <v>230</v>
      </c>
      <c r="F71" s="54" t="s">
        <v>326</v>
      </c>
      <c r="G71" s="55">
        <v>64.48</v>
      </c>
      <c r="H71" s="55">
        <f t="shared" si="3"/>
        <v>773.76</v>
      </c>
      <c r="I71" s="54" t="s">
        <v>256</v>
      </c>
      <c r="J71" s="54" t="s">
        <v>327</v>
      </c>
    </row>
    <row r="72" spans="1:10" ht="19.5" customHeight="1" x14ac:dyDescent="0.2">
      <c r="A72" s="54">
        <v>64</v>
      </c>
      <c r="B72" s="54" t="s">
        <v>328</v>
      </c>
      <c r="C72" s="54" t="s">
        <v>147</v>
      </c>
      <c r="D72" s="54" t="s">
        <v>113</v>
      </c>
      <c r="E72" s="54" t="s">
        <v>230</v>
      </c>
      <c r="F72" s="54" t="s">
        <v>311</v>
      </c>
      <c r="G72" s="55">
        <v>312.7</v>
      </c>
      <c r="H72" s="55">
        <f t="shared" si="3"/>
        <v>3752.3999999999996</v>
      </c>
      <c r="I72" s="54" t="s">
        <v>256</v>
      </c>
      <c r="J72" s="54" t="s">
        <v>329</v>
      </c>
    </row>
    <row r="73" spans="1:10" ht="15" customHeight="1" x14ac:dyDescent="0.2">
      <c r="A73" s="366" t="s">
        <v>330</v>
      </c>
      <c r="B73" s="366"/>
      <c r="C73" s="366"/>
      <c r="D73" s="366"/>
      <c r="E73" s="366"/>
      <c r="F73" s="366"/>
      <c r="G73" s="366"/>
      <c r="H73" s="366"/>
      <c r="I73" s="366"/>
      <c r="J73" s="366"/>
    </row>
    <row r="74" spans="1:10" ht="19.5" customHeight="1" x14ac:dyDescent="0.2">
      <c r="A74" s="54">
        <v>65</v>
      </c>
      <c r="B74" s="54" t="s">
        <v>331</v>
      </c>
      <c r="C74" s="54" t="s">
        <v>332</v>
      </c>
      <c r="D74" s="54" t="s">
        <v>295</v>
      </c>
      <c r="E74" s="54" t="s">
        <v>162</v>
      </c>
      <c r="F74" s="54" t="s">
        <v>333</v>
      </c>
      <c r="G74" s="55">
        <v>69</v>
      </c>
      <c r="H74" s="55">
        <f t="shared" ref="H74:H98" si="4">G74*12</f>
        <v>828</v>
      </c>
      <c r="I74" s="54" t="s">
        <v>164</v>
      </c>
      <c r="J74" s="54" t="s">
        <v>334</v>
      </c>
    </row>
    <row r="75" spans="1:10" ht="19.5" customHeight="1" x14ac:dyDescent="0.2">
      <c r="A75" s="54">
        <v>66</v>
      </c>
      <c r="B75" s="54" t="s">
        <v>335</v>
      </c>
      <c r="C75" s="54" t="s">
        <v>332</v>
      </c>
      <c r="D75" s="54" t="s">
        <v>295</v>
      </c>
      <c r="E75" s="54" t="s">
        <v>162</v>
      </c>
      <c r="F75" s="54" t="s">
        <v>336</v>
      </c>
      <c r="G75" s="55">
        <v>234.25</v>
      </c>
      <c r="H75" s="55">
        <f t="shared" si="4"/>
        <v>2811</v>
      </c>
      <c r="I75" s="54" t="s">
        <v>164</v>
      </c>
      <c r="J75" s="54" t="s">
        <v>337</v>
      </c>
    </row>
    <row r="76" spans="1:10" ht="19.5" customHeight="1" x14ac:dyDescent="0.2">
      <c r="A76" s="54">
        <v>67</v>
      </c>
      <c r="B76" s="54" t="s">
        <v>338</v>
      </c>
      <c r="C76" s="54" t="s">
        <v>332</v>
      </c>
      <c r="D76" s="54" t="s">
        <v>295</v>
      </c>
      <c r="E76" s="54" t="s">
        <v>162</v>
      </c>
      <c r="F76" s="54" t="s">
        <v>339</v>
      </c>
      <c r="G76" s="55">
        <v>271.14</v>
      </c>
      <c r="H76" s="55">
        <f t="shared" si="4"/>
        <v>3253.68</v>
      </c>
      <c r="I76" s="54" t="s">
        <v>164</v>
      </c>
      <c r="J76" s="54" t="s">
        <v>340</v>
      </c>
    </row>
    <row r="77" spans="1:10" ht="19.5" customHeight="1" x14ac:dyDescent="0.2">
      <c r="A77" s="54">
        <v>68</v>
      </c>
      <c r="B77" s="54" t="s">
        <v>341</v>
      </c>
      <c r="C77" s="54" t="s">
        <v>332</v>
      </c>
      <c r="D77" s="54" t="s">
        <v>304</v>
      </c>
      <c r="E77" s="54" t="s">
        <v>162</v>
      </c>
      <c r="F77" s="54" t="s">
        <v>342</v>
      </c>
      <c r="G77" s="55">
        <v>36.24</v>
      </c>
      <c r="H77" s="55">
        <f t="shared" si="4"/>
        <v>434.88</v>
      </c>
      <c r="I77" s="54" t="s">
        <v>164</v>
      </c>
      <c r="J77" s="54" t="s">
        <v>343</v>
      </c>
    </row>
    <row r="78" spans="1:10" ht="19.5" customHeight="1" x14ac:dyDescent="0.2">
      <c r="A78" s="54">
        <v>69</v>
      </c>
      <c r="B78" s="54" t="s">
        <v>303</v>
      </c>
      <c r="C78" s="54" t="s">
        <v>332</v>
      </c>
      <c r="D78" s="54" t="s">
        <v>304</v>
      </c>
      <c r="E78" s="54" t="s">
        <v>162</v>
      </c>
      <c r="F78" s="54" t="s">
        <v>344</v>
      </c>
      <c r="G78" s="55">
        <v>244.6</v>
      </c>
      <c r="H78" s="55">
        <f t="shared" si="4"/>
        <v>2935.2</v>
      </c>
      <c r="I78" s="54" t="s">
        <v>164</v>
      </c>
      <c r="J78" s="54" t="s">
        <v>306</v>
      </c>
    </row>
    <row r="79" spans="1:10" ht="19.5" customHeight="1" x14ac:dyDescent="0.2">
      <c r="A79" s="54">
        <v>70</v>
      </c>
      <c r="B79" s="54" t="s">
        <v>345</v>
      </c>
      <c r="C79" s="54" t="s">
        <v>332</v>
      </c>
      <c r="D79" s="54" t="s">
        <v>346</v>
      </c>
      <c r="E79" s="54" t="s">
        <v>162</v>
      </c>
      <c r="F79" s="54" t="s">
        <v>347</v>
      </c>
      <c r="G79" s="55">
        <v>18.5</v>
      </c>
      <c r="H79" s="55">
        <f t="shared" si="4"/>
        <v>222</v>
      </c>
      <c r="I79" s="54" t="s">
        <v>164</v>
      </c>
      <c r="J79" s="54" t="s">
        <v>348</v>
      </c>
    </row>
    <row r="80" spans="1:10" ht="19.5" customHeight="1" x14ac:dyDescent="0.2">
      <c r="A80" s="54">
        <v>71</v>
      </c>
      <c r="B80" s="54" t="s">
        <v>349</v>
      </c>
      <c r="C80" s="54" t="s">
        <v>332</v>
      </c>
      <c r="D80" s="54" t="s">
        <v>304</v>
      </c>
      <c r="E80" s="54" t="s">
        <v>162</v>
      </c>
      <c r="F80" s="54" t="s">
        <v>350</v>
      </c>
      <c r="G80" s="55">
        <v>85</v>
      </c>
      <c r="H80" s="55">
        <f t="shared" si="4"/>
        <v>1020</v>
      </c>
      <c r="I80" s="54" t="s">
        <v>164</v>
      </c>
      <c r="J80" s="54" t="s">
        <v>351</v>
      </c>
    </row>
    <row r="81" spans="1:10" ht="19.5" customHeight="1" x14ac:dyDescent="0.2">
      <c r="A81" s="54">
        <v>72</v>
      </c>
      <c r="B81" s="54" t="s">
        <v>352</v>
      </c>
      <c r="C81" s="54" t="s">
        <v>332</v>
      </c>
      <c r="D81" s="54" t="s">
        <v>346</v>
      </c>
      <c r="E81" s="54" t="s">
        <v>162</v>
      </c>
      <c r="F81" s="54" t="s">
        <v>353</v>
      </c>
      <c r="G81" s="55">
        <v>0.2</v>
      </c>
      <c r="H81" s="55">
        <f t="shared" si="4"/>
        <v>2.4000000000000004</v>
      </c>
      <c r="I81" s="54" t="s">
        <v>164</v>
      </c>
      <c r="J81" s="54" t="s">
        <v>354</v>
      </c>
    </row>
    <row r="82" spans="1:10" ht="19.5" customHeight="1" x14ac:dyDescent="0.2">
      <c r="A82" s="54">
        <v>73</v>
      </c>
      <c r="B82" s="54" t="s">
        <v>355</v>
      </c>
      <c r="C82" s="54" t="s">
        <v>332</v>
      </c>
      <c r="D82" s="54" t="s">
        <v>304</v>
      </c>
      <c r="E82" s="54" t="s">
        <v>162</v>
      </c>
      <c r="F82" s="54" t="s">
        <v>356</v>
      </c>
      <c r="G82" s="55">
        <v>12.2</v>
      </c>
      <c r="H82" s="55">
        <f t="shared" si="4"/>
        <v>146.39999999999998</v>
      </c>
      <c r="I82" s="54" t="s">
        <v>164</v>
      </c>
      <c r="J82" s="54" t="s">
        <v>357</v>
      </c>
    </row>
    <row r="83" spans="1:10" ht="19.5" customHeight="1" x14ac:dyDescent="0.2">
      <c r="A83" s="54">
        <v>74</v>
      </c>
      <c r="B83" s="54" t="s">
        <v>307</v>
      </c>
      <c r="C83" s="54" t="s">
        <v>332</v>
      </c>
      <c r="D83" s="54" t="s">
        <v>308</v>
      </c>
      <c r="E83" s="54" t="s">
        <v>162</v>
      </c>
      <c r="F83" s="54" t="s">
        <v>358</v>
      </c>
      <c r="G83" s="55">
        <v>84.28</v>
      </c>
      <c r="H83" s="55">
        <f t="shared" si="4"/>
        <v>1011.36</v>
      </c>
      <c r="I83" s="54" t="s">
        <v>164</v>
      </c>
      <c r="J83" s="54" t="s">
        <v>308</v>
      </c>
    </row>
    <row r="84" spans="1:10" ht="19.5" customHeight="1" x14ac:dyDescent="0.2">
      <c r="A84" s="54">
        <v>75</v>
      </c>
      <c r="B84" s="54" t="s">
        <v>310</v>
      </c>
      <c r="C84" s="54" t="s">
        <v>332</v>
      </c>
      <c r="D84" s="54" t="s">
        <v>310</v>
      </c>
      <c r="E84" s="54" t="s">
        <v>162</v>
      </c>
      <c r="F84" s="54" t="s">
        <v>359</v>
      </c>
      <c r="G84" s="55">
        <v>550</v>
      </c>
      <c r="H84" s="55">
        <f t="shared" si="4"/>
        <v>6600</v>
      </c>
      <c r="I84" s="54" t="s">
        <v>164</v>
      </c>
      <c r="J84" s="54" t="s">
        <v>360</v>
      </c>
    </row>
    <row r="85" spans="1:10" ht="19.5" customHeight="1" x14ac:dyDescent="0.2">
      <c r="A85" s="54">
        <v>76</v>
      </c>
      <c r="B85" s="54" t="s">
        <v>361</v>
      </c>
      <c r="C85" s="54" t="s">
        <v>332</v>
      </c>
      <c r="D85" s="54" t="s">
        <v>295</v>
      </c>
      <c r="E85" s="54" t="s">
        <v>162</v>
      </c>
      <c r="F85" s="54" t="s">
        <v>362</v>
      </c>
      <c r="G85" s="55">
        <v>74.239999999999995</v>
      </c>
      <c r="H85" s="55">
        <f t="shared" si="4"/>
        <v>890.87999999999988</v>
      </c>
      <c r="I85" s="54" t="s">
        <v>164</v>
      </c>
      <c r="J85" s="54" t="s">
        <v>363</v>
      </c>
    </row>
    <row r="86" spans="1:10" ht="19.5" customHeight="1" x14ac:dyDescent="0.2">
      <c r="A86" s="54">
        <v>77</v>
      </c>
      <c r="B86" s="54" t="s">
        <v>364</v>
      </c>
      <c r="C86" s="54" t="s">
        <v>332</v>
      </c>
      <c r="D86" s="54" t="s">
        <v>288</v>
      </c>
      <c r="E86" s="54" t="s">
        <v>162</v>
      </c>
      <c r="F86" s="54" t="s">
        <v>365</v>
      </c>
      <c r="G86" s="55">
        <v>52.74</v>
      </c>
      <c r="H86" s="55">
        <f t="shared" si="4"/>
        <v>632.88</v>
      </c>
      <c r="I86" s="54" t="s">
        <v>164</v>
      </c>
      <c r="J86" s="54" t="s">
        <v>366</v>
      </c>
    </row>
    <row r="87" spans="1:10" ht="19.5" customHeight="1" x14ac:dyDescent="0.2">
      <c r="A87" s="54">
        <v>78</v>
      </c>
      <c r="B87" s="54" t="s">
        <v>367</v>
      </c>
      <c r="C87" s="54" t="s">
        <v>332</v>
      </c>
      <c r="D87" s="54" t="s">
        <v>288</v>
      </c>
      <c r="E87" s="54" t="s">
        <v>162</v>
      </c>
      <c r="F87" s="54" t="s">
        <v>368</v>
      </c>
      <c r="G87" s="55">
        <v>90</v>
      </c>
      <c r="H87" s="55">
        <f t="shared" si="4"/>
        <v>1080</v>
      </c>
      <c r="I87" s="54" t="s">
        <v>164</v>
      </c>
      <c r="J87" s="54" t="s">
        <v>369</v>
      </c>
    </row>
    <row r="88" spans="1:10" ht="19.5" customHeight="1" x14ac:dyDescent="0.2">
      <c r="A88" s="54">
        <v>79</v>
      </c>
      <c r="B88" s="54" t="s">
        <v>370</v>
      </c>
      <c r="C88" s="54" t="s">
        <v>332</v>
      </c>
      <c r="D88" s="54" t="s">
        <v>371</v>
      </c>
      <c r="E88" s="54" t="s">
        <v>162</v>
      </c>
      <c r="F88" s="54" t="s">
        <v>372</v>
      </c>
      <c r="G88" s="55">
        <v>0</v>
      </c>
      <c r="H88" s="55">
        <f t="shared" si="4"/>
        <v>0</v>
      </c>
      <c r="I88" s="54" t="s">
        <v>164</v>
      </c>
      <c r="J88" s="54" t="s">
        <v>373</v>
      </c>
    </row>
    <row r="89" spans="1:10" ht="19.5" customHeight="1" x14ac:dyDescent="0.2">
      <c r="A89" s="54">
        <v>80</v>
      </c>
      <c r="B89" s="54" t="s">
        <v>374</v>
      </c>
      <c r="C89" s="54" t="s">
        <v>332</v>
      </c>
      <c r="D89" s="54" t="s">
        <v>304</v>
      </c>
      <c r="E89" s="54" t="s">
        <v>162</v>
      </c>
      <c r="F89" s="54" t="s">
        <v>375</v>
      </c>
      <c r="G89" s="55">
        <v>3.3</v>
      </c>
      <c r="H89" s="55">
        <f t="shared" si="4"/>
        <v>39.599999999999994</v>
      </c>
      <c r="I89" s="54" t="s">
        <v>164</v>
      </c>
      <c r="J89" s="54" t="s">
        <v>343</v>
      </c>
    </row>
    <row r="90" spans="1:10" ht="19.5" customHeight="1" x14ac:dyDescent="0.2">
      <c r="A90" s="54">
        <v>81</v>
      </c>
      <c r="B90" s="54" t="s">
        <v>376</v>
      </c>
      <c r="C90" s="54" t="s">
        <v>332</v>
      </c>
      <c r="D90" s="54" t="s">
        <v>295</v>
      </c>
      <c r="E90" s="54" t="s">
        <v>377</v>
      </c>
      <c r="F90" s="54" t="s">
        <v>378</v>
      </c>
      <c r="G90" s="55">
        <v>6.1</v>
      </c>
      <c r="H90" s="55">
        <f t="shared" si="4"/>
        <v>73.199999999999989</v>
      </c>
      <c r="I90" s="54" t="s">
        <v>164</v>
      </c>
      <c r="J90" s="54" t="s">
        <v>343</v>
      </c>
    </row>
    <row r="91" spans="1:10" ht="19.5" customHeight="1" x14ac:dyDescent="0.2">
      <c r="A91" s="54">
        <v>82</v>
      </c>
      <c r="B91" s="54" t="s">
        <v>314</v>
      </c>
      <c r="C91" s="54" t="s">
        <v>332</v>
      </c>
      <c r="D91" s="54" t="s">
        <v>113</v>
      </c>
      <c r="E91" s="54" t="s">
        <v>230</v>
      </c>
      <c r="F91" s="54" t="s">
        <v>379</v>
      </c>
      <c r="G91" s="55">
        <v>1191.28</v>
      </c>
      <c r="H91" s="55">
        <f t="shared" si="4"/>
        <v>14295.36</v>
      </c>
      <c r="I91" s="54" t="s">
        <v>164</v>
      </c>
      <c r="J91" s="54" t="s">
        <v>343</v>
      </c>
    </row>
    <row r="92" spans="1:10" ht="19.5" customHeight="1" x14ac:dyDescent="0.2">
      <c r="A92" s="54">
        <v>83</v>
      </c>
      <c r="B92" s="54" t="s">
        <v>380</v>
      </c>
      <c r="C92" s="54" t="s">
        <v>332</v>
      </c>
      <c r="D92" s="54" t="s">
        <v>295</v>
      </c>
      <c r="E92" s="54" t="s">
        <v>381</v>
      </c>
      <c r="F92" s="54" t="s">
        <v>382</v>
      </c>
      <c r="G92" s="55">
        <v>61.5</v>
      </c>
      <c r="H92" s="55">
        <f t="shared" si="4"/>
        <v>738</v>
      </c>
      <c r="I92" s="54" t="s">
        <v>164</v>
      </c>
      <c r="J92" s="54" t="s">
        <v>383</v>
      </c>
    </row>
    <row r="93" spans="1:10" ht="19.5" customHeight="1" x14ac:dyDescent="0.2">
      <c r="A93" s="54">
        <v>84</v>
      </c>
      <c r="B93" s="54" t="s">
        <v>384</v>
      </c>
      <c r="C93" s="54" t="s">
        <v>332</v>
      </c>
      <c r="D93" s="54" t="s">
        <v>295</v>
      </c>
      <c r="E93" s="54" t="s">
        <v>230</v>
      </c>
      <c r="F93" s="54" t="s">
        <v>339</v>
      </c>
      <c r="G93" s="55">
        <v>271.14</v>
      </c>
      <c r="H93" s="55">
        <f t="shared" si="4"/>
        <v>3253.68</v>
      </c>
      <c r="I93" s="54" t="s">
        <v>164</v>
      </c>
      <c r="J93" s="54" t="s">
        <v>343</v>
      </c>
    </row>
    <row r="94" spans="1:10" ht="19.5" customHeight="1" x14ac:dyDescent="0.2">
      <c r="A94" s="54">
        <v>85</v>
      </c>
      <c r="B94" s="54" t="s">
        <v>385</v>
      </c>
      <c r="C94" s="54" t="s">
        <v>332</v>
      </c>
      <c r="D94" s="54" t="s">
        <v>304</v>
      </c>
      <c r="E94" s="54" t="s">
        <v>230</v>
      </c>
      <c r="F94" s="54" t="s">
        <v>386</v>
      </c>
      <c r="G94" s="55">
        <v>70</v>
      </c>
      <c r="H94" s="55">
        <f t="shared" si="4"/>
        <v>840</v>
      </c>
      <c r="I94" s="54" t="s">
        <v>164</v>
      </c>
      <c r="J94" s="54" t="s">
        <v>113</v>
      </c>
    </row>
    <row r="95" spans="1:10" ht="19.5" customHeight="1" x14ac:dyDescent="0.2">
      <c r="A95" s="54">
        <v>86</v>
      </c>
      <c r="B95" s="54" t="s">
        <v>387</v>
      </c>
      <c r="C95" s="54" t="s">
        <v>332</v>
      </c>
      <c r="D95" s="54" t="s">
        <v>310</v>
      </c>
      <c r="E95" s="54" t="s">
        <v>230</v>
      </c>
      <c r="F95" s="54" t="s">
        <v>388</v>
      </c>
      <c r="G95" s="55">
        <v>380</v>
      </c>
      <c r="H95" s="55">
        <f t="shared" si="4"/>
        <v>4560</v>
      </c>
      <c r="I95" s="54" t="s">
        <v>164</v>
      </c>
      <c r="J95" s="54" t="s">
        <v>389</v>
      </c>
    </row>
    <row r="96" spans="1:10" ht="19.5" customHeight="1" x14ac:dyDescent="0.2">
      <c r="A96" s="54">
        <v>87</v>
      </c>
      <c r="B96" s="54" t="s">
        <v>325</v>
      </c>
      <c r="C96" s="54" t="s">
        <v>332</v>
      </c>
      <c r="D96" s="54" t="s">
        <v>308</v>
      </c>
      <c r="E96" s="54" t="s">
        <v>230</v>
      </c>
      <c r="F96" s="54" t="s">
        <v>113</v>
      </c>
      <c r="G96" s="55">
        <v>69.11</v>
      </c>
      <c r="H96" s="55">
        <f t="shared" si="4"/>
        <v>829.31999999999994</v>
      </c>
      <c r="I96" s="54" t="s">
        <v>164</v>
      </c>
      <c r="J96" s="54" t="s">
        <v>343</v>
      </c>
    </row>
    <row r="97" spans="1:10" ht="19.5" customHeight="1" x14ac:dyDescent="0.2">
      <c r="A97" s="54">
        <v>88</v>
      </c>
      <c r="B97" s="54" t="s">
        <v>321</v>
      </c>
      <c r="C97" s="54" t="s">
        <v>332</v>
      </c>
      <c r="D97" s="54" t="s">
        <v>295</v>
      </c>
      <c r="E97" s="54" t="s">
        <v>230</v>
      </c>
      <c r="F97" s="54" t="s">
        <v>362</v>
      </c>
      <c r="G97" s="55">
        <v>74.239999999999995</v>
      </c>
      <c r="H97" s="55">
        <f t="shared" si="4"/>
        <v>890.87999999999988</v>
      </c>
      <c r="I97" s="54" t="s">
        <v>164</v>
      </c>
      <c r="J97" s="54" t="s">
        <v>343</v>
      </c>
    </row>
    <row r="98" spans="1:10" ht="19.5" customHeight="1" x14ac:dyDescent="0.2">
      <c r="A98" s="54">
        <v>89</v>
      </c>
      <c r="B98" s="54" t="s">
        <v>323</v>
      </c>
      <c r="C98" s="54" t="s">
        <v>332</v>
      </c>
      <c r="D98" s="54" t="s">
        <v>304</v>
      </c>
      <c r="E98" s="54" t="s">
        <v>230</v>
      </c>
      <c r="F98" s="54" t="s">
        <v>113</v>
      </c>
      <c r="G98" s="55">
        <v>98.3</v>
      </c>
      <c r="H98" s="55">
        <f t="shared" si="4"/>
        <v>1179.5999999999999</v>
      </c>
      <c r="I98" s="54" t="s">
        <v>164</v>
      </c>
      <c r="J98" s="54" t="s">
        <v>113</v>
      </c>
    </row>
    <row r="99" spans="1:10" ht="15" customHeight="1" x14ac:dyDescent="0.2">
      <c r="A99" s="366" t="s">
        <v>390</v>
      </c>
      <c r="B99" s="366"/>
      <c r="C99" s="366"/>
      <c r="D99" s="366"/>
      <c r="E99" s="366"/>
      <c r="F99" s="366"/>
      <c r="G99" s="366"/>
      <c r="H99" s="366"/>
      <c r="I99" s="366"/>
      <c r="J99" s="366"/>
    </row>
    <row r="100" spans="1:10" ht="19.5" customHeight="1" x14ac:dyDescent="0.2">
      <c r="A100" s="54">
        <v>90</v>
      </c>
      <c r="B100" s="54" t="s">
        <v>391</v>
      </c>
      <c r="C100" s="54" t="s">
        <v>115</v>
      </c>
      <c r="D100" s="54" t="s">
        <v>392</v>
      </c>
      <c r="E100" s="54" t="s">
        <v>162</v>
      </c>
      <c r="F100" s="54" t="s">
        <v>393</v>
      </c>
      <c r="G100" s="55">
        <v>139</v>
      </c>
      <c r="H100" s="55">
        <f t="shared" ref="H100:H113" si="5">G100*12</f>
        <v>1668</v>
      </c>
      <c r="I100" s="54" t="s">
        <v>164</v>
      </c>
      <c r="J100" s="54" t="s">
        <v>394</v>
      </c>
    </row>
    <row r="101" spans="1:10" ht="19.5" customHeight="1" x14ac:dyDescent="0.2">
      <c r="A101" s="54">
        <v>91</v>
      </c>
      <c r="B101" s="54" t="s">
        <v>395</v>
      </c>
      <c r="C101" s="54" t="s">
        <v>115</v>
      </c>
      <c r="D101" s="54" t="s">
        <v>392</v>
      </c>
      <c r="E101" s="54" t="s">
        <v>162</v>
      </c>
      <c r="F101" s="54" t="s">
        <v>396</v>
      </c>
      <c r="G101" s="55">
        <v>18.239999999999998</v>
      </c>
      <c r="H101" s="55">
        <f t="shared" si="5"/>
        <v>218.88</v>
      </c>
      <c r="I101" s="54" t="s">
        <v>164</v>
      </c>
      <c r="J101" s="54" t="s">
        <v>397</v>
      </c>
    </row>
    <row r="102" spans="1:10" ht="19.5" customHeight="1" x14ac:dyDescent="0.2">
      <c r="A102" s="54">
        <v>92</v>
      </c>
      <c r="B102" s="54" t="s">
        <v>398</v>
      </c>
      <c r="C102" s="54" t="s">
        <v>115</v>
      </c>
      <c r="D102" s="54" t="s">
        <v>392</v>
      </c>
      <c r="E102" s="54" t="s">
        <v>162</v>
      </c>
      <c r="F102" s="54" t="s">
        <v>399</v>
      </c>
      <c r="G102" s="55">
        <v>20</v>
      </c>
      <c r="H102" s="55">
        <f t="shared" si="5"/>
        <v>240</v>
      </c>
      <c r="I102" s="54" t="s">
        <v>164</v>
      </c>
      <c r="J102" s="54" t="s">
        <v>400</v>
      </c>
    </row>
    <row r="103" spans="1:10" ht="19.5" customHeight="1" x14ac:dyDescent="0.2">
      <c r="A103" s="54">
        <v>93</v>
      </c>
      <c r="B103" s="54" t="s">
        <v>401</v>
      </c>
      <c r="C103" s="54" t="s">
        <v>115</v>
      </c>
      <c r="D103" s="54" t="s">
        <v>392</v>
      </c>
      <c r="E103" s="54" t="s">
        <v>162</v>
      </c>
      <c r="F103" s="54" t="s">
        <v>402</v>
      </c>
      <c r="G103" s="55">
        <v>724</v>
      </c>
      <c r="H103" s="55">
        <f t="shared" si="5"/>
        <v>8688</v>
      </c>
      <c r="I103" s="54" t="s">
        <v>164</v>
      </c>
      <c r="J103" s="54" t="s">
        <v>403</v>
      </c>
    </row>
    <row r="104" spans="1:10" ht="19.5" customHeight="1" x14ac:dyDescent="0.2">
      <c r="A104" s="54">
        <v>94</v>
      </c>
      <c r="B104" s="54" t="s">
        <v>404</v>
      </c>
      <c r="C104" s="54" t="s">
        <v>115</v>
      </c>
      <c r="D104" s="54" t="s">
        <v>392</v>
      </c>
      <c r="E104" s="54" t="s">
        <v>230</v>
      </c>
      <c r="F104" s="54" t="s">
        <v>393</v>
      </c>
      <c r="G104" s="55">
        <v>80</v>
      </c>
      <c r="H104" s="55">
        <f t="shared" si="5"/>
        <v>960</v>
      </c>
      <c r="I104" s="54" t="s">
        <v>164</v>
      </c>
      <c r="J104" s="54" t="s">
        <v>405</v>
      </c>
    </row>
    <row r="105" spans="1:10" ht="19.5" customHeight="1" x14ac:dyDescent="0.2">
      <c r="A105" s="54">
        <v>95</v>
      </c>
      <c r="B105" s="54" t="s">
        <v>406</v>
      </c>
      <c r="C105" s="54" t="s">
        <v>115</v>
      </c>
      <c r="D105" s="54" t="s">
        <v>392</v>
      </c>
      <c r="E105" s="54" t="s">
        <v>230</v>
      </c>
      <c r="F105" s="54" t="s">
        <v>396</v>
      </c>
      <c r="G105" s="55">
        <v>18.239999999999998</v>
      </c>
      <c r="H105" s="55">
        <f t="shared" si="5"/>
        <v>218.88</v>
      </c>
      <c r="I105" s="54" t="s">
        <v>164</v>
      </c>
      <c r="J105" s="54" t="s">
        <v>407</v>
      </c>
    </row>
    <row r="106" spans="1:10" ht="19.5" customHeight="1" x14ac:dyDescent="0.2">
      <c r="A106" s="54">
        <v>96</v>
      </c>
      <c r="B106" s="54" t="s">
        <v>408</v>
      </c>
      <c r="C106" s="54" t="s">
        <v>115</v>
      </c>
      <c r="D106" s="54" t="s">
        <v>392</v>
      </c>
      <c r="E106" s="54" t="s">
        <v>230</v>
      </c>
      <c r="F106" s="54" t="s">
        <v>408</v>
      </c>
      <c r="G106" s="55">
        <v>20</v>
      </c>
      <c r="H106" s="55">
        <f t="shared" si="5"/>
        <v>240</v>
      </c>
      <c r="I106" s="54" t="s">
        <v>164</v>
      </c>
      <c r="J106" s="54" t="s">
        <v>405</v>
      </c>
    </row>
    <row r="107" spans="1:10" ht="19.5" customHeight="1" x14ac:dyDescent="0.2">
      <c r="A107" s="54">
        <v>97</v>
      </c>
      <c r="B107" s="54" t="s">
        <v>409</v>
      </c>
      <c r="C107" s="54" t="s">
        <v>115</v>
      </c>
      <c r="D107" s="54" t="s">
        <v>392</v>
      </c>
      <c r="E107" s="54" t="s">
        <v>230</v>
      </c>
      <c r="F107" s="54" t="s">
        <v>402</v>
      </c>
      <c r="G107" s="55">
        <v>724</v>
      </c>
      <c r="H107" s="55">
        <f t="shared" si="5"/>
        <v>8688</v>
      </c>
      <c r="I107" s="54" t="s">
        <v>164</v>
      </c>
      <c r="J107" s="54" t="s">
        <v>410</v>
      </c>
    </row>
    <row r="108" spans="1:10" ht="19.5" customHeight="1" x14ac:dyDescent="0.2">
      <c r="A108" s="54">
        <v>98</v>
      </c>
      <c r="B108" s="54" t="s">
        <v>411</v>
      </c>
      <c r="C108" s="54" t="s">
        <v>115</v>
      </c>
      <c r="D108" s="54" t="s">
        <v>412</v>
      </c>
      <c r="E108" s="54" t="s">
        <v>162</v>
      </c>
      <c r="F108" s="54" t="s">
        <v>413</v>
      </c>
      <c r="G108" s="55">
        <v>800</v>
      </c>
      <c r="H108" s="55">
        <f t="shared" si="5"/>
        <v>9600</v>
      </c>
      <c r="I108" s="54" t="s">
        <v>164</v>
      </c>
      <c r="J108" s="54" t="s">
        <v>414</v>
      </c>
    </row>
    <row r="109" spans="1:10" ht="19.5" customHeight="1" x14ac:dyDescent="0.2">
      <c r="A109" s="54">
        <v>99</v>
      </c>
      <c r="B109" s="54" t="s">
        <v>415</v>
      </c>
      <c r="C109" s="54" t="s">
        <v>115</v>
      </c>
      <c r="D109" s="54" t="s">
        <v>412</v>
      </c>
      <c r="E109" s="54" t="s">
        <v>162</v>
      </c>
      <c r="F109" s="54" t="s">
        <v>416</v>
      </c>
      <c r="G109" s="55">
        <v>1200</v>
      </c>
      <c r="H109" s="55">
        <f t="shared" si="5"/>
        <v>14400</v>
      </c>
      <c r="I109" s="54" t="s">
        <v>164</v>
      </c>
      <c r="J109" s="54" t="s">
        <v>417</v>
      </c>
    </row>
    <row r="110" spans="1:10" ht="19.5" customHeight="1" x14ac:dyDescent="0.2">
      <c r="A110" s="54">
        <v>100</v>
      </c>
      <c r="B110" s="54" t="s">
        <v>418</v>
      </c>
      <c r="C110" s="54" t="s">
        <v>115</v>
      </c>
      <c r="D110" s="54" t="s">
        <v>412</v>
      </c>
      <c r="E110" s="54" t="s">
        <v>162</v>
      </c>
      <c r="F110" s="54" t="s">
        <v>419</v>
      </c>
      <c r="G110" s="55">
        <v>450</v>
      </c>
      <c r="H110" s="55">
        <f t="shared" si="5"/>
        <v>5400</v>
      </c>
      <c r="I110" s="54" t="s">
        <v>164</v>
      </c>
      <c r="J110" s="54" t="s">
        <v>133</v>
      </c>
    </row>
    <row r="111" spans="1:10" ht="19.5" customHeight="1" x14ac:dyDescent="0.2">
      <c r="A111" s="54">
        <v>101</v>
      </c>
      <c r="B111" s="54" t="s">
        <v>420</v>
      </c>
      <c r="C111" s="54" t="s">
        <v>115</v>
      </c>
      <c r="D111" s="54" t="s">
        <v>412</v>
      </c>
      <c r="E111" s="54" t="s">
        <v>230</v>
      </c>
      <c r="F111" s="54" t="s">
        <v>383</v>
      </c>
      <c r="G111" s="55">
        <v>980</v>
      </c>
      <c r="H111" s="55">
        <f t="shared" si="5"/>
        <v>11760</v>
      </c>
      <c r="I111" s="54" t="s">
        <v>164</v>
      </c>
      <c r="J111" s="54" t="s">
        <v>421</v>
      </c>
    </row>
    <row r="112" spans="1:10" ht="19.5" customHeight="1" x14ac:dyDescent="0.2">
      <c r="A112" s="56">
        <v>102</v>
      </c>
      <c r="B112" s="56" t="s">
        <v>422</v>
      </c>
      <c r="C112" s="56" t="s">
        <v>115</v>
      </c>
      <c r="D112" s="56" t="s">
        <v>423</v>
      </c>
      <c r="E112" s="56" t="s">
        <v>162</v>
      </c>
      <c r="F112" s="56" t="s">
        <v>424</v>
      </c>
      <c r="G112" s="57">
        <v>0</v>
      </c>
      <c r="H112" s="57">
        <f t="shared" si="5"/>
        <v>0</v>
      </c>
      <c r="I112" s="56" t="s">
        <v>425</v>
      </c>
      <c r="J112" s="56" t="s">
        <v>426</v>
      </c>
    </row>
    <row r="113" spans="1:10" ht="19.5" customHeight="1" x14ac:dyDescent="0.2">
      <c r="A113" s="56">
        <v>103</v>
      </c>
      <c r="B113" s="56" t="s">
        <v>427</v>
      </c>
      <c r="C113" s="56" t="s">
        <v>115</v>
      </c>
      <c r="D113" s="56" t="s">
        <v>423</v>
      </c>
      <c r="E113" s="56" t="s">
        <v>162</v>
      </c>
      <c r="F113" s="56" t="s">
        <v>424</v>
      </c>
      <c r="G113" s="57">
        <v>0</v>
      </c>
      <c r="H113" s="57">
        <f t="shared" si="5"/>
        <v>0</v>
      </c>
      <c r="I113" s="56" t="s">
        <v>425</v>
      </c>
      <c r="J113" s="56" t="s">
        <v>428</v>
      </c>
    </row>
    <row r="114" spans="1:10" ht="15" customHeight="1" x14ac:dyDescent="0.2">
      <c r="A114" s="58" t="s">
        <v>429</v>
      </c>
      <c r="B114" s="59"/>
      <c r="C114" s="59"/>
      <c r="D114" s="59"/>
      <c r="E114" s="59"/>
      <c r="F114" s="59"/>
      <c r="G114" s="59"/>
      <c r="H114" s="59"/>
      <c r="I114" s="59"/>
      <c r="J114" s="59"/>
    </row>
    <row r="115" spans="1:10" ht="19.5" customHeight="1" x14ac:dyDescent="0.2">
      <c r="A115" s="60"/>
      <c r="B115" s="60"/>
      <c r="C115" s="60"/>
      <c r="D115" s="60"/>
      <c r="E115" s="60"/>
      <c r="F115" s="60"/>
      <c r="G115" s="61"/>
      <c r="H115" s="61"/>
      <c r="I115" s="60"/>
      <c r="J115" s="60"/>
    </row>
    <row r="116" spans="1:10" ht="19.5" customHeight="1" x14ac:dyDescent="0.2">
      <c r="A116" s="60"/>
      <c r="B116" s="60"/>
      <c r="C116" s="60"/>
      <c r="D116" s="60"/>
      <c r="E116" s="60"/>
      <c r="F116" s="60"/>
      <c r="G116" s="61"/>
      <c r="H116" s="61"/>
      <c r="I116" s="60"/>
      <c r="J116" s="60"/>
    </row>
    <row r="117" spans="1:10" ht="19.5" customHeight="1" x14ac:dyDescent="0.2">
      <c r="A117" s="60"/>
      <c r="B117" s="60"/>
      <c r="C117" s="60"/>
      <c r="D117" s="60"/>
      <c r="E117" s="60"/>
      <c r="F117" s="60"/>
      <c r="G117" s="61"/>
      <c r="H117" s="61"/>
      <c r="I117" s="60"/>
      <c r="J117" s="60"/>
    </row>
    <row r="118" spans="1:10" ht="19.5" customHeight="1" x14ac:dyDescent="0.2">
      <c r="A118" s="60"/>
      <c r="B118" s="60"/>
      <c r="C118" s="60"/>
      <c r="D118" s="60"/>
      <c r="E118" s="60"/>
      <c r="F118" s="60"/>
      <c r="G118" s="61"/>
      <c r="H118" s="61"/>
      <c r="I118" s="60"/>
      <c r="J118" s="60"/>
    </row>
    <row r="119" spans="1:10" ht="19.5" customHeight="1" x14ac:dyDescent="0.2">
      <c r="A119" s="60"/>
      <c r="B119" s="60"/>
      <c r="C119" s="60"/>
      <c r="D119" s="60"/>
      <c r="E119" s="60"/>
      <c r="F119" s="60"/>
      <c r="G119" s="61"/>
      <c r="H119" s="61"/>
      <c r="I119" s="60"/>
      <c r="J119" s="60"/>
    </row>
    <row r="120" spans="1:10" ht="19.5" customHeight="1" x14ac:dyDescent="0.2">
      <c r="A120" s="60"/>
      <c r="B120" s="60"/>
      <c r="C120" s="60"/>
      <c r="D120" s="60"/>
      <c r="E120" s="60"/>
      <c r="F120" s="60"/>
      <c r="G120" s="61"/>
      <c r="H120" s="61"/>
      <c r="I120" s="60"/>
      <c r="J120" s="60"/>
    </row>
    <row r="121" spans="1:10" ht="19.5" customHeight="1" x14ac:dyDescent="0.2">
      <c r="A121" s="60"/>
      <c r="B121" s="60"/>
      <c r="C121" s="60"/>
      <c r="D121" s="60"/>
      <c r="E121" s="60"/>
      <c r="F121" s="60"/>
      <c r="G121" s="61"/>
      <c r="H121" s="61"/>
      <c r="I121" s="60"/>
      <c r="J121" s="60"/>
    </row>
    <row r="122" spans="1:10" ht="19.5" customHeight="1" x14ac:dyDescent="0.2">
      <c r="A122" s="60"/>
      <c r="B122" s="60"/>
      <c r="C122" s="60"/>
      <c r="D122" s="60"/>
      <c r="E122" s="60"/>
      <c r="F122" s="60"/>
      <c r="G122" s="61"/>
      <c r="H122" s="61"/>
      <c r="I122" s="60"/>
      <c r="J122" s="60"/>
    </row>
    <row r="123" spans="1:10" ht="19.5" customHeight="1" x14ac:dyDescent="0.2">
      <c r="A123" s="60"/>
      <c r="B123" s="60"/>
      <c r="C123" s="60"/>
      <c r="D123" s="60"/>
      <c r="E123" s="60"/>
      <c r="F123" s="60"/>
      <c r="G123" s="61"/>
      <c r="H123" s="61"/>
      <c r="I123" s="60"/>
      <c r="J123" s="60"/>
    </row>
    <row r="124" spans="1:10" ht="19.5" customHeight="1" x14ac:dyDescent="0.2">
      <c r="A124" s="60"/>
      <c r="B124" s="60"/>
      <c r="C124" s="60"/>
      <c r="D124" s="60"/>
      <c r="E124" s="60"/>
      <c r="F124" s="60"/>
      <c r="G124" s="61"/>
      <c r="H124" s="61"/>
      <c r="I124" s="60"/>
      <c r="J124" s="60"/>
    </row>
    <row r="126" spans="1:10" ht="15" customHeight="1" x14ac:dyDescent="0.2">
      <c r="A126" s="366" t="s">
        <v>430</v>
      </c>
      <c r="B126" s="366"/>
      <c r="C126" s="366"/>
      <c r="D126" s="366"/>
      <c r="E126" s="366"/>
      <c r="F126" s="366"/>
      <c r="G126" s="366"/>
      <c r="H126" s="366"/>
      <c r="I126" s="366"/>
      <c r="J126" s="366"/>
    </row>
    <row r="127" spans="1:10" ht="15" customHeight="1" x14ac:dyDescent="0.2">
      <c r="A127" s="54"/>
      <c r="B127" s="54" t="s">
        <v>431</v>
      </c>
      <c r="C127" s="54"/>
      <c r="D127" s="54"/>
      <c r="E127" s="54"/>
      <c r="F127" s="54"/>
      <c r="G127" s="55">
        <f>'Primary TCO - Hyderabad'!Q30</f>
        <v>10962.730000000001</v>
      </c>
      <c r="H127" s="55">
        <f t="shared" ref="H127:H132" si="6">G127*12</f>
        <v>131552.76</v>
      </c>
      <c r="I127" s="54"/>
      <c r="J127" s="54"/>
    </row>
    <row r="128" spans="1:10" ht="15" customHeight="1" x14ac:dyDescent="0.2">
      <c r="A128" s="54"/>
      <c r="B128" s="54" t="s">
        <v>432</v>
      </c>
      <c r="C128" s="54"/>
      <c r="D128" s="54"/>
      <c r="E128" s="54"/>
      <c r="F128" s="54"/>
      <c r="G128" s="55">
        <f>'Primary TCO - Hyderabad'!Q31</f>
        <v>1387.59</v>
      </c>
      <c r="H128" s="55">
        <f t="shared" si="6"/>
        <v>16651.079999999998</v>
      </c>
      <c r="I128" s="54"/>
      <c r="J128" s="54"/>
    </row>
    <row r="129" spans="1:10" ht="15" customHeight="1" x14ac:dyDescent="0.2">
      <c r="A129" s="54"/>
      <c r="B129" s="54" t="s">
        <v>433</v>
      </c>
      <c r="C129" s="54"/>
      <c r="D129" s="54"/>
      <c r="E129" s="54"/>
      <c r="F129" s="54"/>
      <c r="G129" s="55">
        <f>'DR TCO - Mumbai'!O14</f>
        <v>8281.2900000000009</v>
      </c>
      <c r="H129" s="55">
        <f t="shared" si="6"/>
        <v>99375.48000000001</v>
      </c>
      <c r="I129" s="54"/>
      <c r="J129" s="54"/>
    </row>
    <row r="130" spans="1:10" ht="15" customHeight="1" x14ac:dyDescent="0.2">
      <c r="A130" s="54"/>
      <c r="B130" s="54" t="s">
        <v>434</v>
      </c>
      <c r="C130" s="54"/>
      <c r="D130" s="54"/>
      <c r="E130" s="54"/>
      <c r="F130" s="54"/>
      <c r="G130" s="55">
        <f>'Existing AWS HMS (Phase 2)'!G33</f>
        <v>6209.14</v>
      </c>
      <c r="H130" s="55">
        <f t="shared" si="6"/>
        <v>74509.680000000008</v>
      </c>
      <c r="I130" s="54"/>
      <c r="J130" s="54"/>
    </row>
    <row r="131" spans="1:10" ht="15" customHeight="1" x14ac:dyDescent="0.2">
      <c r="A131" s="54"/>
      <c r="B131" s="54" t="s">
        <v>435</v>
      </c>
      <c r="C131" s="54"/>
      <c r="D131" s="54"/>
      <c r="E131" s="54"/>
      <c r="F131" s="54"/>
      <c r="G131" s="55">
        <f>SuppServices4ExistingHIS!F29</f>
        <v>3948.4799999999996</v>
      </c>
      <c r="H131" s="55">
        <f t="shared" si="6"/>
        <v>47381.759999999995</v>
      </c>
      <c r="I131" s="54"/>
      <c r="J131" s="54"/>
    </row>
    <row r="132" spans="1:10" ht="15" customHeight="1" x14ac:dyDescent="0.2">
      <c r="A132" s="54"/>
      <c r="B132" s="54" t="s">
        <v>115</v>
      </c>
      <c r="C132" s="54"/>
      <c r="D132" s="54"/>
      <c r="E132" s="54"/>
      <c r="F132" s="54"/>
      <c r="G132" s="55">
        <f>'Marketplace Offerings'!F17</f>
        <v>5173.08</v>
      </c>
      <c r="H132" s="55">
        <f t="shared" si="6"/>
        <v>62076.959999999999</v>
      </c>
      <c r="I132" s="54"/>
      <c r="J132" s="54"/>
    </row>
    <row r="133" spans="1:10" ht="15" customHeight="1" x14ac:dyDescent="0.2">
      <c r="A133" s="54"/>
      <c r="B133" s="54"/>
      <c r="C133" s="54"/>
      <c r="D133" s="54"/>
      <c r="E133" s="54"/>
      <c r="F133" s="54"/>
      <c r="G133" s="55"/>
      <c r="H133" s="55"/>
      <c r="I133" s="54"/>
      <c r="J133" s="54"/>
    </row>
    <row r="134" spans="1:10" ht="25.5" customHeight="1" x14ac:dyDescent="0.2">
      <c r="A134" s="62"/>
      <c r="B134" s="62" t="s">
        <v>436</v>
      </c>
      <c r="C134" s="62"/>
      <c r="D134" s="62"/>
      <c r="E134" s="62"/>
      <c r="F134" s="62"/>
      <c r="G134" s="63">
        <f>G127+G128+G129+G130+G131+G132</f>
        <v>35962.31</v>
      </c>
      <c r="H134" s="63">
        <f>G134*12</f>
        <v>431547.72</v>
      </c>
      <c r="I134" s="62"/>
      <c r="J134" s="62"/>
    </row>
    <row r="138" spans="1:10" x14ac:dyDescent="0.2">
      <c r="B138" s="64" t="s">
        <v>437</v>
      </c>
      <c r="C138" s="65" t="s">
        <v>438</v>
      </c>
    </row>
    <row r="139" spans="1:10" x14ac:dyDescent="0.2">
      <c r="B139" s="64" t="s">
        <v>439</v>
      </c>
      <c r="C139" s="66">
        <v>36181.08</v>
      </c>
    </row>
    <row r="140" spans="1:10" x14ac:dyDescent="0.2">
      <c r="B140" s="64" t="s">
        <v>440</v>
      </c>
      <c r="C140" s="66">
        <v>434175.58</v>
      </c>
    </row>
  </sheetData>
  <autoFilter ref="A4:J134" xr:uid="{00000000-0009-0000-0000-000006000000}"/>
  <mergeCells count="9">
    <mergeCell ref="A42:J42"/>
    <mergeCell ref="A73:J73"/>
    <mergeCell ref="A99:J99"/>
    <mergeCell ref="A126:J126"/>
    <mergeCell ref="A1:J1"/>
    <mergeCell ref="A2:J2"/>
    <mergeCell ref="A5:J5"/>
    <mergeCell ref="A20:J20"/>
    <mergeCell ref="A31:J31"/>
  </mergeCells>
  <hyperlinks>
    <hyperlink ref="C138" r:id="rId1" location="/estimate?id=577f59faba382953de9dad436fb4133589ba6d6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showGridLines="0" topLeftCell="B10" zoomScale="120" zoomScaleNormal="120" workbookViewId="0">
      <selection activeCell="D26" sqref="D26"/>
    </sheetView>
  </sheetViews>
  <sheetFormatPr baseColWidth="10" defaultColWidth="8.83203125" defaultRowHeight="15" x14ac:dyDescent="0.2"/>
  <cols>
    <col min="1" max="1" width="2" customWidth="1"/>
    <col min="2" max="2" width="77.33203125" customWidth="1"/>
    <col min="3" max="3" width="14.5" bestFit="1" customWidth="1"/>
    <col min="4" max="4" width="25.33203125" customWidth="1"/>
    <col min="5" max="5" width="45.1640625" bestFit="1" customWidth="1"/>
    <col min="6" max="6" width="12.1640625" customWidth="1"/>
    <col min="7" max="7" width="12.6640625" customWidth="1"/>
    <col min="8" max="8" width="10.1640625" customWidth="1"/>
  </cols>
  <sheetData>
    <row r="1" spans="1:8" ht="30" customHeight="1" x14ac:dyDescent="0.2">
      <c r="A1" s="2" t="s">
        <v>441</v>
      </c>
      <c r="B1" s="3"/>
      <c r="C1" s="3"/>
      <c r="D1" s="3"/>
      <c r="E1" s="3"/>
    </row>
    <row r="3" spans="1:8" ht="21.75" customHeight="1" x14ac:dyDescent="0.2">
      <c r="B3" s="4" t="s">
        <v>442</v>
      </c>
    </row>
    <row r="5" spans="1:8" ht="30" customHeight="1" x14ac:dyDescent="0.2">
      <c r="B5" s="67" t="s">
        <v>77</v>
      </c>
      <c r="C5" s="67" t="s">
        <v>78</v>
      </c>
      <c r="D5" s="67" t="s">
        <v>79</v>
      </c>
      <c r="E5" s="67" t="s">
        <v>80</v>
      </c>
    </row>
    <row r="6" spans="1:8" ht="25.5" customHeight="1" x14ac:dyDescent="0.2">
      <c r="B6" s="68" t="s">
        <v>443</v>
      </c>
      <c r="C6" s="69">
        <f>'Primary TCO - Hyderabad'!Q30</f>
        <v>10962.730000000001</v>
      </c>
      <c r="D6" s="70">
        <f t="shared" ref="D6:D11" si="0">C6*12</f>
        <v>131552.76</v>
      </c>
      <c r="E6" s="68" t="s">
        <v>444</v>
      </c>
    </row>
    <row r="7" spans="1:8" ht="25.5" customHeight="1" x14ac:dyDescent="0.2">
      <c r="B7" s="71" t="s">
        <v>445</v>
      </c>
      <c r="C7" s="72">
        <f>'Primary TCO - Hyderabad'!Q31</f>
        <v>1387.59</v>
      </c>
      <c r="D7" s="73">
        <f t="shared" si="0"/>
        <v>16651.079999999998</v>
      </c>
      <c r="E7" s="71" t="s">
        <v>84</v>
      </c>
    </row>
    <row r="8" spans="1:8" ht="25.5" customHeight="1" x14ac:dyDescent="0.2">
      <c r="B8" s="68" t="s">
        <v>85</v>
      </c>
      <c r="C8" s="69">
        <f>'DR TCO - Mumbai'!O14</f>
        <v>8281.2900000000009</v>
      </c>
      <c r="D8" s="70">
        <f t="shared" si="0"/>
        <v>99375.48000000001</v>
      </c>
      <c r="E8" s="68" t="s">
        <v>86</v>
      </c>
    </row>
    <row r="9" spans="1:8" ht="25.5" customHeight="1" x14ac:dyDescent="0.2">
      <c r="B9" s="71" t="s">
        <v>87</v>
      </c>
      <c r="C9" s="72">
        <f>SuppServices4ExistingHIS!F29</f>
        <v>3948.4799999999996</v>
      </c>
      <c r="D9" s="73">
        <f t="shared" si="0"/>
        <v>47381.759999999995</v>
      </c>
      <c r="E9" s="71" t="s">
        <v>446</v>
      </c>
    </row>
    <row r="10" spans="1:8" ht="25.5" customHeight="1" x14ac:dyDescent="0.2">
      <c r="B10" s="74" t="s">
        <v>447</v>
      </c>
      <c r="C10" s="75">
        <f>'Marketplace Offerings'!F17</f>
        <v>5173.08</v>
      </c>
      <c r="D10" s="76">
        <f t="shared" si="0"/>
        <v>62076.959999999999</v>
      </c>
      <c r="E10" s="74" t="s">
        <v>448</v>
      </c>
    </row>
    <row r="11" spans="1:8" ht="25.5" customHeight="1" x14ac:dyDescent="0.2">
      <c r="B11" s="71" t="s">
        <v>91</v>
      </c>
      <c r="C11" s="72">
        <f>'Existing AWS HMS (Phase 2)'!G33</f>
        <v>6209.14</v>
      </c>
      <c r="D11" s="73">
        <f t="shared" si="0"/>
        <v>74509.680000000008</v>
      </c>
      <c r="E11" s="71" t="s">
        <v>92</v>
      </c>
    </row>
    <row r="12" spans="1:8" ht="31.5" customHeight="1" x14ac:dyDescent="0.2">
      <c r="B12" s="77"/>
      <c r="C12" s="78"/>
      <c r="D12" s="78"/>
      <c r="E12" s="77"/>
      <c r="F12" s="59"/>
      <c r="G12" s="59"/>
      <c r="H12" s="59"/>
    </row>
    <row r="13" spans="1:8" ht="31.5" customHeight="1" x14ac:dyDescent="0.2">
      <c r="B13" s="79" t="s">
        <v>449</v>
      </c>
      <c r="C13" s="80">
        <f>SUM(C6:C11)</f>
        <v>35962.31</v>
      </c>
      <c r="D13" s="80">
        <f>C13*12</f>
        <v>431547.72</v>
      </c>
      <c r="E13" s="79" t="s">
        <v>450</v>
      </c>
    </row>
    <row r="14" spans="1:8" ht="30.75" customHeight="1" x14ac:dyDescent="0.2">
      <c r="B14" s="81"/>
      <c r="C14" s="82">
        <f>C13-C10</f>
        <v>30789.229999999996</v>
      </c>
      <c r="D14" s="82">
        <f>C14*12</f>
        <v>369470.75999999995</v>
      </c>
      <c r="E14" s="81" t="s">
        <v>451</v>
      </c>
      <c r="F14" s="83">
        <v>369540.94</v>
      </c>
      <c r="G14" s="83">
        <f>F13-D13</f>
        <v>-431547.72</v>
      </c>
      <c r="H14" s="83">
        <f>G13/12</f>
        <v>0</v>
      </c>
    </row>
    <row r="15" spans="1:8" ht="24" hidden="1" customHeight="1" x14ac:dyDescent="0.2">
      <c r="B15" s="84"/>
      <c r="C15" s="85">
        <f>C13-C11</f>
        <v>29753.17</v>
      </c>
      <c r="D15" s="85">
        <f>C15*12</f>
        <v>357038.04</v>
      </c>
      <c r="E15" s="84" t="s">
        <v>452</v>
      </c>
    </row>
    <row r="16" spans="1:8" ht="19.5" hidden="1" customHeight="1" x14ac:dyDescent="0.2">
      <c r="B16" s="86" t="s">
        <v>453</v>
      </c>
    </row>
    <row r="17" spans="2:2" ht="19.5" hidden="1" customHeight="1" x14ac:dyDescent="0.2">
      <c r="B17" s="87" t="s">
        <v>454</v>
      </c>
    </row>
    <row r="18" spans="2:2" ht="19.5" hidden="1" customHeight="1" x14ac:dyDescent="0.2">
      <c r="B18" s="88" t="s">
        <v>455</v>
      </c>
    </row>
    <row r="19" spans="2:2" ht="19.5" hidden="1" customHeight="1" x14ac:dyDescent="0.2">
      <c r="B19" s="87" t="s">
        <v>456</v>
      </c>
    </row>
    <row r="20" spans="2:2" ht="19.5" hidden="1" customHeight="1" x14ac:dyDescent="0.2">
      <c r="B20" s="88" t="s">
        <v>457</v>
      </c>
    </row>
    <row r="21" spans="2:2" ht="15" hidden="1" customHeight="1" x14ac:dyDescent="0.2">
      <c r="B21" s="89" t="s">
        <v>458</v>
      </c>
    </row>
    <row r="22" spans="2:2" ht="24" hidden="1" customHeight="1" x14ac:dyDescent="0.2"/>
    <row r="23" spans="2:2" ht="19.5" hidden="1" customHeight="1" x14ac:dyDescent="0.2">
      <c r="B23" s="90" t="s">
        <v>459</v>
      </c>
    </row>
    <row r="24" spans="2:2" ht="19.5" hidden="1" customHeight="1" x14ac:dyDescent="0.2">
      <c r="B24" s="88" t="s">
        <v>460</v>
      </c>
    </row>
    <row r="25" spans="2:2" ht="19.5" hidden="1" customHeight="1" x14ac:dyDescent="0.2">
      <c r="B25" s="88" t="s">
        <v>461</v>
      </c>
    </row>
    <row r="26" spans="2:2" ht="19.5" customHeight="1" x14ac:dyDescent="0.2">
      <c r="B26" s="92" t="s">
        <v>462</v>
      </c>
    </row>
    <row r="27" spans="2:2" ht="19.5" customHeight="1" x14ac:dyDescent="0.2">
      <c r="B27" s="88" t="s">
        <v>463</v>
      </c>
    </row>
    <row r="28" spans="2:2" ht="19.5" customHeight="1" x14ac:dyDescent="0.2">
      <c r="B28" s="91" t="s">
        <v>464</v>
      </c>
    </row>
    <row r="29" spans="2:2" ht="19.5" customHeight="1" x14ac:dyDescent="0.2">
      <c r="B29" s="89" t="s">
        <v>465</v>
      </c>
    </row>
    <row r="30" spans="2:2" ht="19.5" customHeight="1" x14ac:dyDescent="0.2">
      <c r="B30" s="88" t="s">
        <v>466</v>
      </c>
    </row>
    <row r="31" spans="2:2" ht="19.5" customHeight="1" x14ac:dyDescent="0.2">
      <c r="B31" s="88" t="s">
        <v>467</v>
      </c>
    </row>
    <row r="32" spans="2:2" ht="19.5" customHeight="1" x14ac:dyDescent="0.2">
      <c r="B32" s="88" t="s">
        <v>468</v>
      </c>
    </row>
    <row r="33" spans="2:2" ht="19.5" customHeight="1" x14ac:dyDescent="0.2">
      <c r="B33" s="88" t="s">
        <v>469</v>
      </c>
    </row>
    <row r="34" spans="2:2" ht="19.5" hidden="1" customHeight="1" x14ac:dyDescent="0.2">
      <c r="B34" s="87" t="s">
        <v>470</v>
      </c>
    </row>
    <row r="35" spans="2:2" ht="15" customHeight="1" x14ac:dyDescent="0.2">
      <c r="B35" s="89" t="s">
        <v>471</v>
      </c>
    </row>
    <row r="36" spans="2:2" ht="15" customHeight="1" x14ac:dyDescent="0.2">
      <c r="B36" t="s">
        <v>472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R32"/>
  <sheetViews>
    <sheetView showGridLines="0" topLeftCell="B1" zoomScale="120" zoomScaleNormal="120" workbookViewId="0">
      <pane ySplit="2" topLeftCell="A3" activePane="bottomLeft" state="frozen"/>
      <selection activeCell="B1" sqref="B1"/>
      <selection pane="bottomLeft" activeCell="P13" sqref="P13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3" width="11" customWidth="1"/>
    <col min="4" max="4" width="7" customWidth="1"/>
    <col min="5" max="5" width="12" customWidth="1"/>
    <col min="6" max="6" width="22" customWidth="1"/>
    <col min="7" max="7" width="10" customWidth="1"/>
    <col min="8" max="8" width="14" customWidth="1"/>
    <col min="9" max="9" width="6" customWidth="1"/>
    <col min="10" max="10" width="9" customWidth="1"/>
    <col min="11" max="11" width="22" customWidth="1"/>
    <col min="12" max="13" width="9" customWidth="1"/>
    <col min="14" max="15" width="11" customWidth="1"/>
    <col min="16" max="16" width="10" customWidth="1"/>
    <col min="17" max="17" width="12" customWidth="1"/>
    <col min="18" max="18" width="50" customWidth="1"/>
  </cols>
  <sheetData>
    <row r="1" spans="1:18" ht="30" customHeight="1" x14ac:dyDescent="0.2">
      <c r="A1" s="2" t="s">
        <v>473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9.75" customHeight="1" x14ac:dyDescent="0.2">
      <c r="A2" s="67" t="s">
        <v>152</v>
      </c>
      <c r="B2" s="67" t="s">
        <v>474</v>
      </c>
      <c r="C2" s="67" t="s">
        <v>157</v>
      </c>
      <c r="D2" s="67" t="s">
        <v>475</v>
      </c>
      <c r="E2" s="67" t="s">
        <v>476</v>
      </c>
      <c r="F2" s="67" t="s">
        <v>477</v>
      </c>
      <c r="G2" s="67" t="s">
        <v>478</v>
      </c>
      <c r="H2" s="67" t="s">
        <v>156</v>
      </c>
      <c r="I2" s="67" t="s">
        <v>479</v>
      </c>
      <c r="J2" s="67" t="s">
        <v>480</v>
      </c>
      <c r="K2" s="67" t="s">
        <v>481</v>
      </c>
      <c r="L2" s="67" t="s">
        <v>482</v>
      </c>
      <c r="M2" s="67" t="s">
        <v>483</v>
      </c>
      <c r="N2" s="17" t="s">
        <v>484</v>
      </c>
      <c r="O2" s="67" t="s">
        <v>485</v>
      </c>
      <c r="P2" s="67" t="s">
        <v>486</v>
      </c>
      <c r="Q2" s="67" t="s">
        <v>487</v>
      </c>
      <c r="R2" s="67" t="s">
        <v>488</v>
      </c>
    </row>
    <row r="3" spans="1:18" ht="36" customHeight="1" x14ac:dyDescent="0.2">
      <c r="A3" s="93">
        <v>1</v>
      </c>
      <c r="B3" s="94" t="s">
        <v>159</v>
      </c>
      <c r="C3" s="95" t="s">
        <v>164</v>
      </c>
      <c r="D3" s="95" t="s">
        <v>489</v>
      </c>
      <c r="E3" s="93" t="s">
        <v>490</v>
      </c>
      <c r="F3" s="96" t="s">
        <v>491</v>
      </c>
      <c r="G3" s="97" t="s">
        <v>492</v>
      </c>
      <c r="H3" s="95" t="s">
        <v>163</v>
      </c>
      <c r="I3" s="98">
        <v>4</v>
      </c>
      <c r="J3" s="98">
        <v>16</v>
      </c>
      <c r="K3" s="99" t="s">
        <v>493</v>
      </c>
      <c r="L3" s="98">
        <v>200</v>
      </c>
      <c r="M3" s="93" t="s">
        <v>494</v>
      </c>
      <c r="N3" s="100" t="s">
        <v>495</v>
      </c>
      <c r="O3" s="101">
        <v>208.43</v>
      </c>
      <c r="P3" s="101">
        <v>18.239999999999998</v>
      </c>
      <c r="Q3" s="102">
        <f>O3+P3</f>
        <v>226.67000000000002</v>
      </c>
      <c r="R3" s="103" t="s">
        <v>496</v>
      </c>
    </row>
    <row r="4" spans="1:18" ht="36" customHeight="1" x14ac:dyDescent="0.2">
      <c r="A4" s="93">
        <v>2</v>
      </c>
      <c r="B4" s="94" t="s">
        <v>166</v>
      </c>
      <c r="C4" s="95" t="s">
        <v>164</v>
      </c>
      <c r="D4" s="95" t="s">
        <v>489</v>
      </c>
      <c r="E4" s="93" t="s">
        <v>490</v>
      </c>
      <c r="F4" s="96" t="s">
        <v>491</v>
      </c>
      <c r="G4" s="97" t="s">
        <v>492</v>
      </c>
      <c r="H4" s="95" t="s">
        <v>163</v>
      </c>
      <c r="I4" s="98">
        <v>4</v>
      </c>
      <c r="J4" s="98">
        <v>16</v>
      </c>
      <c r="K4" s="99" t="s">
        <v>493</v>
      </c>
      <c r="L4" s="98">
        <v>200</v>
      </c>
      <c r="M4" s="93" t="s">
        <v>494</v>
      </c>
      <c r="N4" s="100" t="s">
        <v>495</v>
      </c>
      <c r="O4" s="101">
        <v>208.43</v>
      </c>
      <c r="P4" s="101">
        <v>18.239999999999998</v>
      </c>
      <c r="Q4" s="102">
        <f>O4+P4</f>
        <v>226.67000000000002</v>
      </c>
      <c r="R4" s="103" t="s">
        <v>497</v>
      </c>
    </row>
    <row r="5" spans="1:18" ht="36" customHeight="1" x14ac:dyDescent="0.2">
      <c r="A5" s="104">
        <v>3</v>
      </c>
      <c r="B5" s="105" t="s">
        <v>200</v>
      </c>
      <c r="C5" s="106" t="s">
        <v>164</v>
      </c>
      <c r="D5" s="107" t="s">
        <v>498</v>
      </c>
      <c r="E5" s="104" t="s">
        <v>499</v>
      </c>
      <c r="F5" s="108" t="s">
        <v>500</v>
      </c>
      <c r="G5" s="109" t="s">
        <v>501</v>
      </c>
      <c r="H5" s="106" t="s">
        <v>202</v>
      </c>
      <c r="I5" s="110">
        <v>4</v>
      </c>
      <c r="J5" s="110">
        <v>16</v>
      </c>
      <c r="K5" s="107" t="s">
        <v>502</v>
      </c>
      <c r="L5" s="110">
        <v>2250</v>
      </c>
      <c r="M5" s="104" t="s">
        <v>494</v>
      </c>
      <c r="N5" s="111" t="s">
        <v>503</v>
      </c>
      <c r="O5" s="112">
        <v>139.53</v>
      </c>
      <c r="P5" s="112">
        <v>0</v>
      </c>
      <c r="Q5" s="113">
        <f>O5+P5</f>
        <v>139.53</v>
      </c>
      <c r="R5" s="114" t="s">
        <v>504</v>
      </c>
    </row>
    <row r="6" spans="1:18" ht="36" hidden="1" customHeight="1" x14ac:dyDescent="0.2">
      <c r="A6" s="115">
        <v>4</v>
      </c>
      <c r="B6" s="116" t="s">
        <v>505</v>
      </c>
      <c r="C6" s="117" t="s">
        <v>506</v>
      </c>
      <c r="D6" s="118" t="s">
        <v>489</v>
      </c>
      <c r="E6" s="119" t="s">
        <v>507</v>
      </c>
      <c r="F6" s="120" t="s">
        <v>508</v>
      </c>
      <c r="G6" s="121" t="s">
        <v>509</v>
      </c>
      <c r="H6" s="121" t="s">
        <v>509</v>
      </c>
      <c r="I6" s="115" t="s">
        <v>509</v>
      </c>
      <c r="J6" s="115" t="s">
        <v>509</v>
      </c>
      <c r="K6" s="121" t="s">
        <v>509</v>
      </c>
      <c r="L6" s="115" t="s">
        <v>509</v>
      </c>
      <c r="M6" s="115" t="s">
        <v>509</v>
      </c>
      <c r="N6" s="122" t="s">
        <v>510</v>
      </c>
      <c r="O6" s="123" t="s">
        <v>509</v>
      </c>
      <c r="P6" s="123" t="s">
        <v>509</v>
      </c>
      <c r="Q6" s="124" t="s">
        <v>509</v>
      </c>
      <c r="R6" s="125" t="s">
        <v>511</v>
      </c>
    </row>
    <row r="7" spans="1:18" ht="36" hidden="1" customHeight="1" x14ac:dyDescent="0.2">
      <c r="A7" s="115">
        <v>5</v>
      </c>
      <c r="B7" s="116" t="s">
        <v>512</v>
      </c>
      <c r="C7" s="117" t="s">
        <v>506</v>
      </c>
      <c r="D7" s="118" t="s">
        <v>489</v>
      </c>
      <c r="E7" s="119" t="s">
        <v>507</v>
      </c>
      <c r="F7" s="120" t="s">
        <v>508</v>
      </c>
      <c r="G7" s="121" t="s">
        <v>509</v>
      </c>
      <c r="H7" s="121" t="s">
        <v>509</v>
      </c>
      <c r="I7" s="115" t="s">
        <v>509</v>
      </c>
      <c r="J7" s="115" t="s">
        <v>509</v>
      </c>
      <c r="K7" s="121" t="s">
        <v>509</v>
      </c>
      <c r="L7" s="115" t="s">
        <v>509</v>
      </c>
      <c r="M7" s="115" t="s">
        <v>509</v>
      </c>
      <c r="N7" s="126" t="s">
        <v>495</v>
      </c>
      <c r="O7" s="123" t="s">
        <v>509</v>
      </c>
      <c r="P7" s="123" t="s">
        <v>509</v>
      </c>
      <c r="Q7" s="124" t="s">
        <v>509</v>
      </c>
      <c r="R7" s="125" t="s">
        <v>513</v>
      </c>
    </row>
    <row r="8" spans="1:18" ht="36" hidden="1" customHeight="1" x14ac:dyDescent="0.2">
      <c r="A8" s="115">
        <v>6</v>
      </c>
      <c r="B8" s="116" t="s">
        <v>514</v>
      </c>
      <c r="C8" s="117" t="s">
        <v>506</v>
      </c>
      <c r="D8" s="118" t="s">
        <v>489</v>
      </c>
      <c r="E8" s="119" t="s">
        <v>507</v>
      </c>
      <c r="F8" s="120" t="s">
        <v>508</v>
      </c>
      <c r="G8" s="121" t="s">
        <v>509</v>
      </c>
      <c r="H8" s="121" t="s">
        <v>509</v>
      </c>
      <c r="I8" s="115" t="s">
        <v>509</v>
      </c>
      <c r="J8" s="115" t="s">
        <v>509</v>
      </c>
      <c r="K8" s="121" t="s">
        <v>509</v>
      </c>
      <c r="L8" s="115" t="s">
        <v>509</v>
      </c>
      <c r="M8" s="115" t="s">
        <v>509</v>
      </c>
      <c r="N8" s="122" t="s">
        <v>515</v>
      </c>
      <c r="O8" s="123" t="s">
        <v>509</v>
      </c>
      <c r="P8" s="123" t="s">
        <v>509</v>
      </c>
      <c r="Q8" s="124" t="s">
        <v>509</v>
      </c>
      <c r="R8" s="125" t="s">
        <v>516</v>
      </c>
    </row>
    <row r="9" spans="1:18" ht="36" customHeight="1" x14ac:dyDescent="0.2">
      <c r="A9" s="93">
        <v>7</v>
      </c>
      <c r="B9" s="94" t="s">
        <v>517</v>
      </c>
      <c r="C9" s="95" t="s">
        <v>164</v>
      </c>
      <c r="D9" s="95" t="s">
        <v>489</v>
      </c>
      <c r="E9" s="93" t="s">
        <v>490</v>
      </c>
      <c r="F9" s="96" t="s">
        <v>491</v>
      </c>
      <c r="G9" s="109" t="s">
        <v>501</v>
      </c>
      <c r="H9" s="95" t="s">
        <v>169</v>
      </c>
      <c r="I9" s="98">
        <v>16</v>
      </c>
      <c r="J9" s="98">
        <v>64</v>
      </c>
      <c r="K9" s="99" t="s">
        <v>493</v>
      </c>
      <c r="L9" s="98">
        <v>700</v>
      </c>
      <c r="M9" s="93" t="s">
        <v>494</v>
      </c>
      <c r="N9" s="100" t="s">
        <v>495</v>
      </c>
      <c r="O9" s="101">
        <v>2101.9299999999998</v>
      </c>
      <c r="P9" s="101">
        <v>63.84</v>
      </c>
      <c r="Q9" s="127">
        <f t="shared" ref="Q9:Q29" si="0">O9+P9</f>
        <v>2165.77</v>
      </c>
      <c r="R9" s="103" t="s">
        <v>518</v>
      </c>
    </row>
    <row r="10" spans="1:18" ht="36" customHeight="1" x14ac:dyDescent="0.2">
      <c r="A10" s="93">
        <v>8</v>
      </c>
      <c r="B10" s="94" t="s">
        <v>519</v>
      </c>
      <c r="C10" s="95" t="s">
        <v>164</v>
      </c>
      <c r="D10" s="95" t="s">
        <v>489</v>
      </c>
      <c r="E10" s="93" t="s">
        <v>490</v>
      </c>
      <c r="F10" s="96" t="s">
        <v>520</v>
      </c>
      <c r="G10" s="109" t="s">
        <v>501</v>
      </c>
      <c r="H10" s="95" t="s">
        <v>172</v>
      </c>
      <c r="I10" s="98">
        <v>32</v>
      </c>
      <c r="J10" s="98">
        <v>64</v>
      </c>
      <c r="K10" s="99" t="s">
        <v>493</v>
      </c>
      <c r="L10" s="98">
        <v>21500</v>
      </c>
      <c r="M10" s="93" t="s">
        <v>494</v>
      </c>
      <c r="N10" s="128" t="s">
        <v>521</v>
      </c>
      <c r="O10" s="101">
        <v>310.11</v>
      </c>
      <c r="P10" s="101">
        <v>1960.8</v>
      </c>
      <c r="Q10" s="127">
        <f t="shared" si="0"/>
        <v>2270.91</v>
      </c>
      <c r="R10" s="103" t="s">
        <v>522</v>
      </c>
    </row>
    <row r="11" spans="1:18" ht="36" customHeight="1" x14ac:dyDescent="0.2">
      <c r="A11" s="129">
        <v>9</v>
      </c>
      <c r="B11" s="130" t="s">
        <v>204</v>
      </c>
      <c r="C11" s="131" t="s">
        <v>164</v>
      </c>
      <c r="D11" s="131" t="s">
        <v>489</v>
      </c>
      <c r="E11" s="129" t="s">
        <v>499</v>
      </c>
      <c r="F11" s="132" t="s">
        <v>523</v>
      </c>
      <c r="G11" s="97" t="s">
        <v>492</v>
      </c>
      <c r="H11" s="131" t="s">
        <v>206</v>
      </c>
      <c r="I11" s="133">
        <v>2</v>
      </c>
      <c r="J11" s="133">
        <v>4</v>
      </c>
      <c r="K11" s="134" t="s">
        <v>502</v>
      </c>
      <c r="L11" s="133">
        <v>300</v>
      </c>
      <c r="M11" s="129" t="s">
        <v>494</v>
      </c>
      <c r="N11" s="135" t="s">
        <v>495</v>
      </c>
      <c r="O11" s="136">
        <v>24.41</v>
      </c>
      <c r="P11" s="136">
        <v>0</v>
      </c>
      <c r="Q11" s="137">
        <f t="shared" si="0"/>
        <v>24.41</v>
      </c>
      <c r="R11" s="138" t="s">
        <v>524</v>
      </c>
    </row>
    <row r="12" spans="1:18" ht="36" customHeight="1" x14ac:dyDescent="0.2">
      <c r="A12" s="129">
        <v>10</v>
      </c>
      <c r="B12" s="130" t="s">
        <v>208</v>
      </c>
      <c r="C12" s="131" t="s">
        <v>164</v>
      </c>
      <c r="D12" s="131" t="s">
        <v>489</v>
      </c>
      <c r="E12" s="129" t="s">
        <v>499</v>
      </c>
      <c r="F12" s="132" t="s">
        <v>520</v>
      </c>
      <c r="G12" s="97" t="s">
        <v>492</v>
      </c>
      <c r="H12" s="131" t="s">
        <v>209</v>
      </c>
      <c r="I12" s="133">
        <v>4</v>
      </c>
      <c r="J12" s="133">
        <v>16</v>
      </c>
      <c r="K12" s="134" t="s">
        <v>502</v>
      </c>
      <c r="L12" s="133">
        <v>205</v>
      </c>
      <c r="M12" s="129" t="s">
        <v>494</v>
      </c>
      <c r="N12" s="135" t="s">
        <v>495</v>
      </c>
      <c r="O12" s="136">
        <v>28.68</v>
      </c>
      <c r="P12" s="136">
        <v>22.8</v>
      </c>
      <c r="Q12" s="137">
        <f t="shared" si="0"/>
        <v>51.480000000000004</v>
      </c>
      <c r="R12" s="138" t="s">
        <v>525</v>
      </c>
    </row>
    <row r="13" spans="1:18" ht="36" customHeight="1" x14ac:dyDescent="0.2">
      <c r="A13" s="93">
        <v>11</v>
      </c>
      <c r="B13" s="94" t="s">
        <v>526</v>
      </c>
      <c r="C13" s="95" t="s">
        <v>164</v>
      </c>
      <c r="D13" s="95" t="s">
        <v>489</v>
      </c>
      <c r="E13" s="93" t="s">
        <v>490</v>
      </c>
      <c r="F13" s="96" t="s">
        <v>491</v>
      </c>
      <c r="G13" s="109" t="s">
        <v>501</v>
      </c>
      <c r="H13" s="95" t="s">
        <v>175</v>
      </c>
      <c r="I13" s="98">
        <v>16</v>
      </c>
      <c r="J13" s="98">
        <v>128</v>
      </c>
      <c r="K13" s="99" t="s">
        <v>493</v>
      </c>
      <c r="L13" s="98">
        <v>1100</v>
      </c>
      <c r="M13" s="93" t="s">
        <v>494</v>
      </c>
      <c r="N13" s="100" t="s">
        <v>495</v>
      </c>
      <c r="O13" s="101">
        <v>2157.7600000000002</v>
      </c>
      <c r="P13" s="101">
        <v>100.32</v>
      </c>
      <c r="Q13" s="127">
        <f t="shared" si="0"/>
        <v>2258.0800000000004</v>
      </c>
      <c r="R13" s="103" t="s">
        <v>527</v>
      </c>
    </row>
    <row r="14" spans="1:18" ht="36" customHeight="1" x14ac:dyDescent="0.2">
      <c r="A14" s="93">
        <v>12</v>
      </c>
      <c r="B14" s="94" t="s">
        <v>177</v>
      </c>
      <c r="C14" s="95" t="s">
        <v>164</v>
      </c>
      <c r="D14" s="95" t="s">
        <v>489</v>
      </c>
      <c r="E14" s="93" t="s">
        <v>490</v>
      </c>
      <c r="F14" s="96" t="s">
        <v>491</v>
      </c>
      <c r="G14" s="109" t="s">
        <v>501</v>
      </c>
      <c r="H14" s="95" t="s">
        <v>178</v>
      </c>
      <c r="I14" s="98">
        <v>8</v>
      </c>
      <c r="J14" s="98">
        <v>32</v>
      </c>
      <c r="K14" s="99" t="s">
        <v>493</v>
      </c>
      <c r="L14" s="98">
        <v>350</v>
      </c>
      <c r="M14" s="93" t="s">
        <v>494</v>
      </c>
      <c r="N14" s="100" t="s">
        <v>495</v>
      </c>
      <c r="O14" s="101">
        <v>345.6</v>
      </c>
      <c r="P14" s="101">
        <v>36.479999999999997</v>
      </c>
      <c r="Q14" s="127">
        <f t="shared" si="0"/>
        <v>382.08000000000004</v>
      </c>
      <c r="R14" s="103" t="s">
        <v>528</v>
      </c>
    </row>
    <row r="15" spans="1:18" ht="36" customHeight="1" x14ac:dyDescent="0.2">
      <c r="A15" s="104">
        <v>13</v>
      </c>
      <c r="B15" s="105" t="s">
        <v>529</v>
      </c>
      <c r="C15" s="106" t="s">
        <v>164</v>
      </c>
      <c r="D15" s="107" t="s">
        <v>498</v>
      </c>
      <c r="E15" s="104" t="s">
        <v>490</v>
      </c>
      <c r="F15" s="108" t="s">
        <v>491</v>
      </c>
      <c r="G15" s="109" t="s">
        <v>501</v>
      </c>
      <c r="H15" s="106" t="s">
        <v>169</v>
      </c>
      <c r="I15" s="110">
        <v>16</v>
      </c>
      <c r="J15" s="110">
        <v>64</v>
      </c>
      <c r="K15" s="139" t="s">
        <v>493</v>
      </c>
      <c r="L15" s="110">
        <v>1400</v>
      </c>
      <c r="M15" s="104" t="s">
        <v>494</v>
      </c>
      <c r="N15" s="111" t="s">
        <v>530</v>
      </c>
      <c r="O15" s="112">
        <v>702.43</v>
      </c>
      <c r="P15" s="112">
        <v>127.68</v>
      </c>
      <c r="Q15" s="140">
        <f t="shared" si="0"/>
        <v>830.1099999999999</v>
      </c>
      <c r="R15" s="114" t="s">
        <v>531</v>
      </c>
    </row>
    <row r="16" spans="1:18" ht="36" customHeight="1" x14ac:dyDescent="0.2">
      <c r="A16" s="104">
        <v>14</v>
      </c>
      <c r="B16" s="105" t="s">
        <v>532</v>
      </c>
      <c r="C16" s="106" t="s">
        <v>164</v>
      </c>
      <c r="D16" s="107" t="s">
        <v>498</v>
      </c>
      <c r="E16" s="104" t="s">
        <v>499</v>
      </c>
      <c r="F16" s="108" t="s">
        <v>491</v>
      </c>
      <c r="G16" s="109" t="s">
        <v>501</v>
      </c>
      <c r="H16" s="106" t="s">
        <v>202</v>
      </c>
      <c r="I16" s="110">
        <v>4</v>
      </c>
      <c r="J16" s="110">
        <v>16</v>
      </c>
      <c r="K16" s="107" t="s">
        <v>502</v>
      </c>
      <c r="L16" s="110">
        <v>900</v>
      </c>
      <c r="M16" s="104" t="s">
        <v>494</v>
      </c>
      <c r="N16" s="141" t="s">
        <v>533</v>
      </c>
      <c r="O16" s="112">
        <v>16.82</v>
      </c>
      <c r="P16" s="112">
        <v>82.08</v>
      </c>
      <c r="Q16" s="113">
        <f t="shared" si="0"/>
        <v>98.9</v>
      </c>
      <c r="R16" s="114" t="s">
        <v>534</v>
      </c>
    </row>
    <row r="17" spans="1:18" ht="51.75" customHeight="1" x14ac:dyDescent="0.2">
      <c r="A17" s="104">
        <v>15</v>
      </c>
      <c r="B17" s="105" t="s">
        <v>535</v>
      </c>
      <c r="C17" s="106" t="s">
        <v>164</v>
      </c>
      <c r="D17" s="107" t="s">
        <v>498</v>
      </c>
      <c r="E17" s="104" t="s">
        <v>490</v>
      </c>
      <c r="F17" s="108" t="s">
        <v>523</v>
      </c>
      <c r="G17" s="109" t="s">
        <v>501</v>
      </c>
      <c r="H17" s="106" t="s">
        <v>184</v>
      </c>
      <c r="I17" s="110">
        <v>8</v>
      </c>
      <c r="J17" s="110">
        <v>64</v>
      </c>
      <c r="K17" s="139" t="s">
        <v>493</v>
      </c>
      <c r="L17" s="110">
        <v>2400</v>
      </c>
      <c r="M17" s="104" t="s">
        <v>494</v>
      </c>
      <c r="N17" s="141" t="s">
        <v>495</v>
      </c>
      <c r="O17" s="112">
        <v>379.13</v>
      </c>
      <c r="P17" s="112">
        <v>218.88</v>
      </c>
      <c r="Q17" s="113">
        <f t="shared" si="0"/>
        <v>598.01</v>
      </c>
      <c r="R17" s="114" t="s">
        <v>536</v>
      </c>
    </row>
    <row r="18" spans="1:18" ht="36" customHeight="1" x14ac:dyDescent="0.2">
      <c r="A18" s="104">
        <v>16</v>
      </c>
      <c r="B18" s="105" t="s">
        <v>537</v>
      </c>
      <c r="C18" s="106" t="s">
        <v>164</v>
      </c>
      <c r="D18" s="107" t="s">
        <v>498</v>
      </c>
      <c r="E18" s="104" t="s">
        <v>490</v>
      </c>
      <c r="F18" s="108" t="s">
        <v>523</v>
      </c>
      <c r="G18" s="109" t="s">
        <v>501</v>
      </c>
      <c r="H18" s="106" t="s">
        <v>184</v>
      </c>
      <c r="I18" s="110">
        <v>8</v>
      </c>
      <c r="J18" s="110">
        <v>64</v>
      </c>
      <c r="K18" s="139" t="s">
        <v>493</v>
      </c>
      <c r="L18" s="110">
        <v>1100</v>
      </c>
      <c r="M18" s="104" t="s">
        <v>494</v>
      </c>
      <c r="N18" s="141" t="s">
        <v>495</v>
      </c>
      <c r="O18" s="112">
        <v>379.13</v>
      </c>
      <c r="P18" s="112">
        <v>100.32</v>
      </c>
      <c r="Q18" s="113">
        <f t="shared" si="0"/>
        <v>479.45</v>
      </c>
      <c r="R18" s="114" t="s">
        <v>538</v>
      </c>
    </row>
    <row r="19" spans="1:18" ht="36" customHeight="1" x14ac:dyDescent="0.2">
      <c r="A19" s="104">
        <v>17</v>
      </c>
      <c r="B19" s="105" t="s">
        <v>188</v>
      </c>
      <c r="C19" s="106" t="s">
        <v>164</v>
      </c>
      <c r="D19" s="107" t="s">
        <v>498</v>
      </c>
      <c r="E19" s="104" t="s">
        <v>490</v>
      </c>
      <c r="F19" s="108" t="s">
        <v>491</v>
      </c>
      <c r="G19" s="109" t="s">
        <v>501</v>
      </c>
      <c r="H19" s="106" t="s">
        <v>184</v>
      </c>
      <c r="I19" s="110">
        <v>8</v>
      </c>
      <c r="J19" s="110">
        <v>64</v>
      </c>
      <c r="K19" s="139" t="s">
        <v>493</v>
      </c>
      <c r="L19" s="110">
        <v>1450</v>
      </c>
      <c r="M19" s="104" t="s">
        <v>494</v>
      </c>
      <c r="N19" s="111" t="s">
        <v>539</v>
      </c>
      <c r="O19" s="112">
        <v>377.03</v>
      </c>
      <c r="P19" s="112">
        <v>132.24</v>
      </c>
      <c r="Q19" s="113">
        <f t="shared" si="0"/>
        <v>509.27</v>
      </c>
      <c r="R19" s="114" t="s">
        <v>540</v>
      </c>
    </row>
    <row r="20" spans="1:18" ht="36" customHeight="1" x14ac:dyDescent="0.2">
      <c r="A20" s="104">
        <v>18</v>
      </c>
      <c r="B20" s="105" t="s">
        <v>213</v>
      </c>
      <c r="C20" s="106" t="s">
        <v>164</v>
      </c>
      <c r="D20" s="107" t="s">
        <v>498</v>
      </c>
      <c r="E20" s="104" t="s">
        <v>499</v>
      </c>
      <c r="F20" s="108" t="s">
        <v>541</v>
      </c>
      <c r="G20" s="109" t="s">
        <v>501</v>
      </c>
      <c r="H20" s="106" t="s">
        <v>202</v>
      </c>
      <c r="I20" s="110">
        <v>4</v>
      </c>
      <c r="J20" s="110">
        <v>16</v>
      </c>
      <c r="K20" s="107" t="s">
        <v>502</v>
      </c>
      <c r="L20" s="110">
        <v>730</v>
      </c>
      <c r="M20" s="104" t="s">
        <v>494</v>
      </c>
      <c r="N20" s="141" t="s">
        <v>542</v>
      </c>
      <c r="O20" s="112">
        <v>16.260000000000002</v>
      </c>
      <c r="P20" s="112">
        <v>77.52</v>
      </c>
      <c r="Q20" s="113">
        <f t="shared" si="0"/>
        <v>93.78</v>
      </c>
      <c r="R20" s="114" t="s">
        <v>543</v>
      </c>
    </row>
    <row r="21" spans="1:18" ht="36" customHeight="1" x14ac:dyDescent="0.2">
      <c r="A21" s="129">
        <v>19</v>
      </c>
      <c r="B21" s="130" t="s">
        <v>215</v>
      </c>
      <c r="C21" s="131" t="s">
        <v>164</v>
      </c>
      <c r="D21" s="131" t="s">
        <v>489</v>
      </c>
      <c r="E21" s="129" t="s">
        <v>499</v>
      </c>
      <c r="F21" s="132" t="s">
        <v>520</v>
      </c>
      <c r="G21" s="97" t="s">
        <v>492</v>
      </c>
      <c r="H21" s="131" t="s">
        <v>209</v>
      </c>
      <c r="I21" s="133">
        <v>4</v>
      </c>
      <c r="J21" s="133">
        <v>16</v>
      </c>
      <c r="K21" s="134" t="s">
        <v>502</v>
      </c>
      <c r="L21" s="133">
        <v>150</v>
      </c>
      <c r="M21" s="129" t="s">
        <v>494</v>
      </c>
      <c r="N21" s="135" t="s">
        <v>544</v>
      </c>
      <c r="O21" s="136">
        <v>33.4</v>
      </c>
      <c r="P21" s="136">
        <v>16.420000000000002</v>
      </c>
      <c r="Q21" s="137">
        <f t="shared" si="0"/>
        <v>49.82</v>
      </c>
      <c r="R21" s="138" t="s">
        <v>545</v>
      </c>
    </row>
    <row r="22" spans="1:18" ht="36" customHeight="1" x14ac:dyDescent="0.2">
      <c r="A22" s="129">
        <v>20</v>
      </c>
      <c r="B22" s="130" t="s">
        <v>217</v>
      </c>
      <c r="C22" s="131" t="s">
        <v>164</v>
      </c>
      <c r="D22" s="131" t="s">
        <v>489</v>
      </c>
      <c r="E22" s="129" t="s">
        <v>499</v>
      </c>
      <c r="F22" s="132" t="s">
        <v>491</v>
      </c>
      <c r="G22" s="97" t="s">
        <v>492</v>
      </c>
      <c r="H22" s="131" t="s">
        <v>218</v>
      </c>
      <c r="I22" s="133">
        <v>8</v>
      </c>
      <c r="J22" s="133">
        <v>32</v>
      </c>
      <c r="K22" s="134" t="s">
        <v>502</v>
      </c>
      <c r="L22" s="133">
        <v>500</v>
      </c>
      <c r="M22" s="129" t="s">
        <v>494</v>
      </c>
      <c r="N22" s="135" t="s">
        <v>495</v>
      </c>
      <c r="O22" s="136">
        <v>92.48</v>
      </c>
      <c r="P22" s="136">
        <v>45.6</v>
      </c>
      <c r="Q22" s="137">
        <f t="shared" si="0"/>
        <v>138.08000000000001</v>
      </c>
      <c r="R22" s="138" t="s">
        <v>546</v>
      </c>
    </row>
    <row r="23" spans="1:18" ht="36" customHeight="1" x14ac:dyDescent="0.2">
      <c r="A23" s="93">
        <v>21</v>
      </c>
      <c r="B23" s="94" t="s">
        <v>190</v>
      </c>
      <c r="C23" s="95" t="s">
        <v>164</v>
      </c>
      <c r="D23" s="95" t="s">
        <v>489</v>
      </c>
      <c r="E23" s="93" t="s">
        <v>490</v>
      </c>
      <c r="F23" s="96" t="s">
        <v>520</v>
      </c>
      <c r="G23" s="109" t="s">
        <v>501</v>
      </c>
      <c r="H23" s="95" t="s">
        <v>178</v>
      </c>
      <c r="I23" s="98">
        <v>8</v>
      </c>
      <c r="J23" s="98">
        <v>32</v>
      </c>
      <c r="K23" s="99" t="s">
        <v>493</v>
      </c>
      <c r="L23" s="98">
        <v>1127</v>
      </c>
      <c r="M23" s="93" t="s">
        <v>494</v>
      </c>
      <c r="N23" s="100" t="s">
        <v>495</v>
      </c>
      <c r="O23" s="101">
        <v>81.52</v>
      </c>
      <c r="P23" s="101">
        <v>109.44</v>
      </c>
      <c r="Q23" s="127">
        <f t="shared" si="0"/>
        <v>190.95999999999998</v>
      </c>
      <c r="R23" s="103" t="s">
        <v>547</v>
      </c>
    </row>
    <row r="24" spans="1:18" ht="36" customHeight="1" x14ac:dyDescent="0.2">
      <c r="A24" s="93">
        <v>22</v>
      </c>
      <c r="B24" s="94" t="s">
        <v>192</v>
      </c>
      <c r="C24" s="95" t="s">
        <v>164</v>
      </c>
      <c r="D24" s="95" t="s">
        <v>489</v>
      </c>
      <c r="E24" s="93" t="s">
        <v>490</v>
      </c>
      <c r="F24" s="96" t="s">
        <v>520</v>
      </c>
      <c r="G24" s="109" t="s">
        <v>501</v>
      </c>
      <c r="H24" s="95" t="s">
        <v>193</v>
      </c>
      <c r="I24" s="98">
        <v>8</v>
      </c>
      <c r="J24" s="98">
        <v>16</v>
      </c>
      <c r="K24" s="99" t="s">
        <v>493</v>
      </c>
      <c r="L24" s="98">
        <v>1000</v>
      </c>
      <c r="M24" s="93" t="s">
        <v>494</v>
      </c>
      <c r="N24" s="100" t="s">
        <v>495</v>
      </c>
      <c r="O24" s="101">
        <v>77.53</v>
      </c>
      <c r="P24" s="101">
        <v>91.2</v>
      </c>
      <c r="Q24" s="102">
        <f t="shared" si="0"/>
        <v>168.73000000000002</v>
      </c>
      <c r="R24" s="103" t="s">
        <v>548</v>
      </c>
    </row>
    <row r="25" spans="1:18" ht="36" customHeight="1" x14ac:dyDescent="0.2">
      <c r="A25" s="142">
        <v>23</v>
      </c>
      <c r="B25" s="143" t="s">
        <v>220</v>
      </c>
      <c r="C25" s="144" t="s">
        <v>164</v>
      </c>
      <c r="D25" s="144" t="s">
        <v>489</v>
      </c>
      <c r="E25" s="142" t="s">
        <v>499</v>
      </c>
      <c r="F25" s="145" t="s">
        <v>520</v>
      </c>
      <c r="G25" s="109" t="s">
        <v>501</v>
      </c>
      <c r="H25" s="144" t="s">
        <v>184</v>
      </c>
      <c r="I25" s="146">
        <v>8</v>
      </c>
      <c r="J25" s="146">
        <v>64</v>
      </c>
      <c r="K25" s="147" t="s">
        <v>502</v>
      </c>
      <c r="L25" s="146">
        <v>1639</v>
      </c>
      <c r="M25" s="142" t="s">
        <v>494</v>
      </c>
      <c r="N25" s="135" t="s">
        <v>495</v>
      </c>
      <c r="O25" s="148">
        <v>121.32</v>
      </c>
      <c r="P25" s="148">
        <v>155.04</v>
      </c>
      <c r="Q25" s="149">
        <f t="shared" si="0"/>
        <v>276.36</v>
      </c>
      <c r="R25" s="138" t="s">
        <v>549</v>
      </c>
    </row>
    <row r="26" spans="1:18" ht="36" customHeight="1" x14ac:dyDescent="0.2">
      <c r="A26" s="93">
        <v>24</v>
      </c>
      <c r="B26" s="94" t="s">
        <v>195</v>
      </c>
      <c r="C26" s="95" t="s">
        <v>164</v>
      </c>
      <c r="D26" s="95" t="s">
        <v>489</v>
      </c>
      <c r="E26" s="93" t="s">
        <v>490</v>
      </c>
      <c r="F26" s="96" t="s">
        <v>523</v>
      </c>
      <c r="G26" s="109" t="s">
        <v>501</v>
      </c>
      <c r="H26" s="95" t="s">
        <v>178</v>
      </c>
      <c r="I26" s="98">
        <v>8</v>
      </c>
      <c r="J26" s="98">
        <v>32</v>
      </c>
      <c r="K26" s="99" t="s">
        <v>493</v>
      </c>
      <c r="L26" s="98">
        <v>320</v>
      </c>
      <c r="M26" s="93" t="s">
        <v>494</v>
      </c>
      <c r="N26" s="100" t="s">
        <v>495</v>
      </c>
      <c r="O26" s="101">
        <v>347.42</v>
      </c>
      <c r="P26" s="101">
        <v>31.92</v>
      </c>
      <c r="Q26" s="127">
        <f t="shared" si="0"/>
        <v>379.34000000000003</v>
      </c>
      <c r="R26" s="103" t="s">
        <v>550</v>
      </c>
    </row>
    <row r="27" spans="1:18" ht="36" customHeight="1" x14ac:dyDescent="0.2">
      <c r="A27" s="104">
        <v>25</v>
      </c>
      <c r="B27" s="105" t="s">
        <v>222</v>
      </c>
      <c r="C27" s="106" t="s">
        <v>164</v>
      </c>
      <c r="D27" s="107" t="s">
        <v>498</v>
      </c>
      <c r="E27" s="104" t="s">
        <v>499</v>
      </c>
      <c r="F27" s="108" t="s">
        <v>523</v>
      </c>
      <c r="G27" s="109" t="s">
        <v>501</v>
      </c>
      <c r="H27" s="106" t="s">
        <v>246</v>
      </c>
      <c r="I27" s="110">
        <v>4</v>
      </c>
      <c r="J27" s="110">
        <v>32</v>
      </c>
      <c r="K27" s="107" t="s">
        <v>502</v>
      </c>
      <c r="L27" s="110">
        <v>1100</v>
      </c>
      <c r="M27" s="104" t="s">
        <v>494</v>
      </c>
      <c r="N27" s="141" t="s">
        <v>551</v>
      </c>
      <c r="O27" s="112">
        <v>79.569999999999993</v>
      </c>
      <c r="P27" s="112">
        <v>33.11</v>
      </c>
      <c r="Q27" s="113">
        <f t="shared" si="0"/>
        <v>112.67999999999999</v>
      </c>
      <c r="R27" s="114" t="s">
        <v>552</v>
      </c>
    </row>
    <row r="28" spans="1:18" ht="36" customHeight="1" x14ac:dyDescent="0.2">
      <c r="A28" s="104">
        <v>26</v>
      </c>
      <c r="B28" s="105" t="s">
        <v>224</v>
      </c>
      <c r="C28" s="106" t="s">
        <v>164</v>
      </c>
      <c r="D28" s="107" t="s">
        <v>498</v>
      </c>
      <c r="E28" s="104" t="s">
        <v>499</v>
      </c>
      <c r="F28" s="108" t="s">
        <v>523</v>
      </c>
      <c r="G28" s="109" t="s">
        <v>501</v>
      </c>
      <c r="H28" s="106" t="s">
        <v>175</v>
      </c>
      <c r="I28" s="110">
        <v>16</v>
      </c>
      <c r="J28" s="110">
        <v>128</v>
      </c>
      <c r="K28" s="107" t="s">
        <v>502</v>
      </c>
      <c r="L28" s="110">
        <v>2800</v>
      </c>
      <c r="M28" s="104" t="s">
        <v>494</v>
      </c>
      <c r="N28" s="141" t="s">
        <v>495</v>
      </c>
      <c r="O28" s="112">
        <v>318.27999999999997</v>
      </c>
      <c r="P28" s="112">
        <v>84.27</v>
      </c>
      <c r="Q28" s="113">
        <f t="shared" si="0"/>
        <v>402.54999999999995</v>
      </c>
      <c r="R28" s="114" t="s">
        <v>553</v>
      </c>
    </row>
    <row r="29" spans="1:18" ht="36" customHeight="1" x14ac:dyDescent="0.2">
      <c r="A29" s="93">
        <v>27</v>
      </c>
      <c r="B29" s="94" t="s">
        <v>197</v>
      </c>
      <c r="C29" s="95" t="s">
        <v>164</v>
      </c>
      <c r="D29" s="95" t="s">
        <v>489</v>
      </c>
      <c r="E29" s="93" t="s">
        <v>490</v>
      </c>
      <c r="F29" s="96" t="s">
        <v>554</v>
      </c>
      <c r="G29" s="109" t="s">
        <v>501</v>
      </c>
      <c r="H29" s="95" t="s">
        <v>169</v>
      </c>
      <c r="I29" s="98">
        <v>16</v>
      </c>
      <c r="J29" s="98">
        <v>64</v>
      </c>
      <c r="K29" s="99" t="s">
        <v>493</v>
      </c>
      <c r="L29" s="98">
        <v>1100</v>
      </c>
      <c r="M29" s="93" t="s">
        <v>494</v>
      </c>
      <c r="N29" s="100" t="s">
        <v>555</v>
      </c>
      <c r="O29" s="101">
        <v>176.36</v>
      </c>
      <c r="P29" s="101">
        <v>100.32</v>
      </c>
      <c r="Q29" s="127">
        <f t="shared" si="0"/>
        <v>276.68</v>
      </c>
      <c r="R29" s="103" t="s">
        <v>556</v>
      </c>
    </row>
    <row r="30" spans="1:18" ht="24" customHeight="1" x14ac:dyDescent="0.2">
      <c r="A30" s="150" t="s">
        <v>557</v>
      </c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2"/>
      <c r="P30" s="152"/>
      <c r="Q30" s="153">
        <f>Q3+Q4+Q9+Q10+Q13+Q14+Q15+Q17+Q18+Q19+Q23+Q24+Q26+Q29</f>
        <v>10962.730000000001</v>
      </c>
      <c r="R30" s="151"/>
    </row>
    <row r="31" spans="1:18" ht="24" customHeight="1" x14ac:dyDescent="0.2">
      <c r="A31" s="154" t="s">
        <v>558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6"/>
      <c r="P31" s="156"/>
      <c r="Q31" s="157">
        <f>Q5+Q11+Q12+Q16+Q20+Q21+Q22+Q25+Q27+Q28</f>
        <v>1387.59</v>
      </c>
      <c r="R31" s="155"/>
    </row>
    <row r="32" spans="1:18" ht="24" customHeight="1" x14ac:dyDescent="0.2">
      <c r="A32" s="158" t="s">
        <v>559</v>
      </c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60"/>
      <c r="P32" s="160"/>
      <c r="Q32" s="161">
        <f>Q30+Q31</f>
        <v>12350.320000000002</v>
      </c>
      <c r="R32" s="159"/>
    </row>
  </sheetData>
  <autoFilter ref="A2:R32" xr:uid="{00000000-0009-0000-0000-000008000000}">
    <filterColumn colId="2">
      <filters blank="1">
        <filter val="In Scope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"/>
  <sheetViews>
    <sheetView showGridLines="0" zoomScale="120" zoomScaleNormal="120" workbookViewId="0">
      <pane ySplit="2" topLeftCell="A3" activePane="bottomLeft" state="frozen"/>
      <selection pane="bottomLeft" activeCell="B12" sqref="B12"/>
    </sheetView>
  </sheetViews>
  <sheetFormatPr baseColWidth="10" defaultColWidth="8.83203125" defaultRowHeight="15" x14ac:dyDescent="0.2"/>
  <cols>
    <col min="1" max="1" width="5" customWidth="1"/>
    <col min="2" max="2" width="16.1640625" customWidth="1"/>
    <col min="3" max="3" width="7" customWidth="1"/>
    <col min="4" max="4" width="16" customWidth="1"/>
    <col min="5" max="5" width="22" customWidth="1"/>
    <col min="6" max="6" width="10" customWidth="1"/>
    <col min="7" max="7" width="14" customWidth="1"/>
    <col min="8" max="8" width="6" customWidth="1"/>
    <col min="9" max="9" width="9" customWidth="1"/>
    <col min="10" max="10" width="24" customWidth="1"/>
    <col min="11" max="12" width="9" customWidth="1"/>
    <col min="13" max="13" width="11" customWidth="1"/>
    <col min="14" max="14" width="10" customWidth="1"/>
    <col min="15" max="15" width="12" customWidth="1"/>
    <col min="16" max="16" width="50" customWidth="1"/>
  </cols>
  <sheetData>
    <row r="1" spans="1:16" ht="30" customHeight="1" x14ac:dyDescent="0.2">
      <c r="A1" s="162" t="s">
        <v>560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</row>
    <row r="2" spans="1:16" ht="39.75" customHeight="1" x14ac:dyDescent="0.2">
      <c r="A2" s="164" t="s">
        <v>152</v>
      </c>
      <c r="B2" s="164" t="s">
        <v>474</v>
      </c>
      <c r="C2" s="164" t="s">
        <v>475</v>
      </c>
      <c r="D2" s="164" t="s">
        <v>561</v>
      </c>
      <c r="E2" s="164" t="s">
        <v>477</v>
      </c>
      <c r="F2" s="164" t="s">
        <v>478</v>
      </c>
      <c r="G2" s="164" t="s">
        <v>156</v>
      </c>
      <c r="H2" s="164" t="s">
        <v>479</v>
      </c>
      <c r="I2" s="164" t="s">
        <v>480</v>
      </c>
      <c r="J2" s="164" t="s">
        <v>481</v>
      </c>
      <c r="K2" s="164" t="s">
        <v>482</v>
      </c>
      <c r="L2" s="164" t="s">
        <v>483</v>
      </c>
      <c r="M2" s="164" t="s">
        <v>485</v>
      </c>
      <c r="N2" s="164" t="s">
        <v>486</v>
      </c>
      <c r="O2" s="164" t="s">
        <v>487</v>
      </c>
      <c r="P2" s="164" t="s">
        <v>562</v>
      </c>
    </row>
    <row r="3" spans="1:16" ht="31.5" customHeight="1" x14ac:dyDescent="0.2">
      <c r="A3" s="165">
        <v>1</v>
      </c>
      <c r="B3" s="166" t="s">
        <v>563</v>
      </c>
      <c r="C3" s="167" t="s">
        <v>489</v>
      </c>
      <c r="D3" s="168" t="s">
        <v>564</v>
      </c>
      <c r="E3" s="169" t="s">
        <v>491</v>
      </c>
      <c r="F3" s="97" t="s">
        <v>492</v>
      </c>
      <c r="G3" s="167" t="s">
        <v>163</v>
      </c>
      <c r="H3" s="170">
        <v>4</v>
      </c>
      <c r="I3" s="170">
        <v>16</v>
      </c>
      <c r="J3" s="168" t="s">
        <v>493</v>
      </c>
      <c r="K3" s="170">
        <v>200</v>
      </c>
      <c r="L3" s="165" t="s">
        <v>494</v>
      </c>
      <c r="M3" s="171">
        <v>208.43</v>
      </c>
      <c r="N3" s="171">
        <v>18.239999999999998</v>
      </c>
      <c r="O3" s="172">
        <f t="shared" ref="O3:O12" si="0">M3+N3</f>
        <v>226.67000000000002</v>
      </c>
      <c r="P3" s="173" t="s">
        <v>565</v>
      </c>
    </row>
    <row r="4" spans="1:16" ht="31.5" customHeight="1" x14ac:dyDescent="0.2">
      <c r="A4" s="165">
        <v>2</v>
      </c>
      <c r="B4" s="166" t="s">
        <v>566</v>
      </c>
      <c r="C4" s="167" t="s">
        <v>489</v>
      </c>
      <c r="D4" s="168" t="s">
        <v>564</v>
      </c>
      <c r="E4" s="169" t="s">
        <v>491</v>
      </c>
      <c r="F4" s="109" t="s">
        <v>501</v>
      </c>
      <c r="G4" s="167" t="s">
        <v>178</v>
      </c>
      <c r="H4" s="170">
        <v>8</v>
      </c>
      <c r="I4" s="170">
        <v>32</v>
      </c>
      <c r="J4" s="168" t="s">
        <v>493</v>
      </c>
      <c r="K4" s="170">
        <v>700</v>
      </c>
      <c r="L4" s="165" t="s">
        <v>494</v>
      </c>
      <c r="M4" s="171">
        <v>1050.96</v>
      </c>
      <c r="N4" s="171">
        <v>63.84</v>
      </c>
      <c r="O4" s="174">
        <f t="shared" si="0"/>
        <v>1114.8</v>
      </c>
      <c r="P4" s="173" t="s">
        <v>567</v>
      </c>
    </row>
    <row r="5" spans="1:16" ht="31.5" customHeight="1" x14ac:dyDescent="0.2">
      <c r="A5" s="165">
        <v>3</v>
      </c>
      <c r="B5" s="166" t="s">
        <v>568</v>
      </c>
      <c r="C5" s="167" t="s">
        <v>489</v>
      </c>
      <c r="D5" s="168" t="s">
        <v>564</v>
      </c>
      <c r="E5" s="169" t="s">
        <v>491</v>
      </c>
      <c r="F5" s="109" t="s">
        <v>501</v>
      </c>
      <c r="G5" s="167" t="s">
        <v>184</v>
      </c>
      <c r="H5" s="170">
        <v>8</v>
      </c>
      <c r="I5" s="170">
        <v>64</v>
      </c>
      <c r="J5" s="168" t="s">
        <v>493</v>
      </c>
      <c r="K5" s="170">
        <v>1100</v>
      </c>
      <c r="L5" s="165" t="s">
        <v>494</v>
      </c>
      <c r="M5" s="171">
        <v>1077.8499999999999</v>
      </c>
      <c r="N5" s="171">
        <v>100.32</v>
      </c>
      <c r="O5" s="174">
        <f t="shared" si="0"/>
        <v>1178.1699999999998</v>
      </c>
      <c r="P5" s="173" t="s">
        <v>569</v>
      </c>
    </row>
    <row r="6" spans="1:16" ht="31.5" customHeight="1" x14ac:dyDescent="0.2">
      <c r="A6" s="165">
        <v>4</v>
      </c>
      <c r="B6" s="166" t="s">
        <v>570</v>
      </c>
      <c r="C6" s="167" t="s">
        <v>489</v>
      </c>
      <c r="D6" s="168" t="s">
        <v>564</v>
      </c>
      <c r="E6" s="169" t="s">
        <v>520</v>
      </c>
      <c r="F6" s="109" t="s">
        <v>501</v>
      </c>
      <c r="G6" s="167" t="s">
        <v>172</v>
      </c>
      <c r="H6" s="170">
        <v>32</v>
      </c>
      <c r="I6" s="170">
        <v>64</v>
      </c>
      <c r="J6" s="168" t="s">
        <v>493</v>
      </c>
      <c r="K6" s="170">
        <v>21500</v>
      </c>
      <c r="L6" s="165" t="s">
        <v>494</v>
      </c>
      <c r="M6" s="171">
        <v>1359.01</v>
      </c>
      <c r="N6" s="171">
        <v>1960.8</v>
      </c>
      <c r="O6" s="174">
        <f t="shared" si="0"/>
        <v>3319.81</v>
      </c>
      <c r="P6" s="173" t="s">
        <v>571</v>
      </c>
    </row>
    <row r="7" spans="1:16" ht="31.5" customHeight="1" x14ac:dyDescent="0.2">
      <c r="A7" s="104">
        <v>5</v>
      </c>
      <c r="B7" s="105" t="s">
        <v>572</v>
      </c>
      <c r="C7" s="107" t="s">
        <v>498</v>
      </c>
      <c r="D7" s="139" t="s">
        <v>564</v>
      </c>
      <c r="E7" s="108" t="s">
        <v>491</v>
      </c>
      <c r="F7" s="109" t="s">
        <v>501</v>
      </c>
      <c r="G7" s="106" t="s">
        <v>178</v>
      </c>
      <c r="H7" s="110">
        <v>8</v>
      </c>
      <c r="I7" s="110">
        <v>32</v>
      </c>
      <c r="J7" s="139" t="s">
        <v>493</v>
      </c>
      <c r="K7" s="110">
        <v>1400</v>
      </c>
      <c r="L7" s="104" t="s">
        <v>494</v>
      </c>
      <c r="M7" s="112">
        <v>350.16</v>
      </c>
      <c r="N7" s="112">
        <v>127.68</v>
      </c>
      <c r="O7" s="140">
        <f t="shared" si="0"/>
        <v>477.84000000000003</v>
      </c>
      <c r="P7" s="114" t="s">
        <v>573</v>
      </c>
    </row>
    <row r="8" spans="1:16" ht="31.5" customHeight="1" x14ac:dyDescent="0.2">
      <c r="A8" s="104">
        <v>6</v>
      </c>
      <c r="B8" s="105" t="s">
        <v>574</v>
      </c>
      <c r="C8" s="107" t="s">
        <v>498</v>
      </c>
      <c r="D8" s="139" t="s">
        <v>564</v>
      </c>
      <c r="E8" s="108" t="s">
        <v>523</v>
      </c>
      <c r="F8" s="109" t="s">
        <v>501</v>
      </c>
      <c r="G8" s="106" t="s">
        <v>184</v>
      </c>
      <c r="H8" s="110">
        <v>8</v>
      </c>
      <c r="I8" s="110">
        <v>64</v>
      </c>
      <c r="J8" s="139" t="s">
        <v>493</v>
      </c>
      <c r="K8" s="110">
        <v>2400</v>
      </c>
      <c r="L8" s="104" t="s">
        <v>494</v>
      </c>
      <c r="M8" s="112">
        <v>377.05</v>
      </c>
      <c r="N8" s="112">
        <v>218.88</v>
      </c>
      <c r="O8" s="113">
        <f t="shared" si="0"/>
        <v>595.93000000000006</v>
      </c>
      <c r="P8" s="114" t="s">
        <v>575</v>
      </c>
    </row>
    <row r="9" spans="1:16" ht="31.5" customHeight="1" x14ac:dyDescent="0.2">
      <c r="A9" s="104">
        <v>7</v>
      </c>
      <c r="B9" s="105" t="s">
        <v>576</v>
      </c>
      <c r="C9" s="107" t="s">
        <v>498</v>
      </c>
      <c r="D9" s="139" t="s">
        <v>564</v>
      </c>
      <c r="E9" s="108" t="s">
        <v>523</v>
      </c>
      <c r="F9" s="109" t="s">
        <v>501</v>
      </c>
      <c r="G9" s="106" t="s">
        <v>184</v>
      </c>
      <c r="H9" s="110">
        <v>8</v>
      </c>
      <c r="I9" s="110">
        <v>64</v>
      </c>
      <c r="J9" s="139" t="s">
        <v>493</v>
      </c>
      <c r="K9" s="110">
        <v>1100</v>
      </c>
      <c r="L9" s="104" t="s">
        <v>494</v>
      </c>
      <c r="M9" s="112">
        <v>377.05</v>
      </c>
      <c r="N9" s="112">
        <v>100.32</v>
      </c>
      <c r="O9" s="113">
        <f t="shared" si="0"/>
        <v>477.37</v>
      </c>
      <c r="P9" s="114" t="s">
        <v>577</v>
      </c>
    </row>
    <row r="10" spans="1:16" ht="31.5" customHeight="1" x14ac:dyDescent="0.2">
      <c r="A10" s="104">
        <v>8</v>
      </c>
      <c r="B10" s="105" t="s">
        <v>578</v>
      </c>
      <c r="C10" s="107" t="s">
        <v>498</v>
      </c>
      <c r="D10" s="139" t="s">
        <v>564</v>
      </c>
      <c r="E10" s="108" t="s">
        <v>491</v>
      </c>
      <c r="F10" s="109" t="s">
        <v>501</v>
      </c>
      <c r="G10" s="106" t="s">
        <v>246</v>
      </c>
      <c r="H10" s="110">
        <v>4</v>
      </c>
      <c r="I10" s="110">
        <v>32</v>
      </c>
      <c r="J10" s="139" t="s">
        <v>493</v>
      </c>
      <c r="K10" s="110">
        <v>1450</v>
      </c>
      <c r="L10" s="104" t="s">
        <v>494</v>
      </c>
      <c r="M10" s="112">
        <v>188.52</v>
      </c>
      <c r="N10" s="112">
        <v>132.24</v>
      </c>
      <c r="O10" s="113">
        <f t="shared" si="0"/>
        <v>320.76</v>
      </c>
      <c r="P10" s="114" t="s">
        <v>579</v>
      </c>
    </row>
    <row r="11" spans="1:16" ht="31.5" customHeight="1" x14ac:dyDescent="0.2">
      <c r="A11" s="165">
        <v>9</v>
      </c>
      <c r="B11" s="166" t="s">
        <v>580</v>
      </c>
      <c r="C11" s="167" t="s">
        <v>489</v>
      </c>
      <c r="D11" s="168" t="s">
        <v>564</v>
      </c>
      <c r="E11" s="169" t="s">
        <v>523</v>
      </c>
      <c r="F11" s="109" t="s">
        <v>501</v>
      </c>
      <c r="G11" s="167" t="s">
        <v>249</v>
      </c>
      <c r="H11" s="170">
        <v>2</v>
      </c>
      <c r="I11" s="170">
        <v>8</v>
      </c>
      <c r="J11" s="168" t="s">
        <v>493</v>
      </c>
      <c r="K11" s="170">
        <v>350</v>
      </c>
      <c r="L11" s="165" t="s">
        <v>494</v>
      </c>
      <c r="M11" s="171">
        <v>87.54</v>
      </c>
      <c r="N11" s="171">
        <v>31.92</v>
      </c>
      <c r="O11" s="174">
        <f t="shared" si="0"/>
        <v>119.46000000000001</v>
      </c>
      <c r="P11" s="173" t="s">
        <v>581</v>
      </c>
    </row>
    <row r="12" spans="1:16" ht="31.5" customHeight="1" x14ac:dyDescent="0.2">
      <c r="A12" s="165">
        <v>10</v>
      </c>
      <c r="B12" s="166" t="s">
        <v>582</v>
      </c>
      <c r="C12" s="167" t="s">
        <v>489</v>
      </c>
      <c r="D12" s="168" t="s">
        <v>564</v>
      </c>
      <c r="E12" s="169" t="s">
        <v>554</v>
      </c>
      <c r="F12" s="109" t="s">
        <v>501</v>
      </c>
      <c r="G12" s="167" t="s">
        <v>178</v>
      </c>
      <c r="H12" s="170">
        <v>8</v>
      </c>
      <c r="I12" s="170">
        <v>32</v>
      </c>
      <c r="J12" s="168" t="s">
        <v>493</v>
      </c>
      <c r="K12" s="170">
        <v>1100</v>
      </c>
      <c r="L12" s="165" t="s">
        <v>494</v>
      </c>
      <c r="M12" s="171">
        <v>350.16</v>
      </c>
      <c r="N12" s="171">
        <v>100.32</v>
      </c>
      <c r="O12" s="174">
        <f t="shared" si="0"/>
        <v>450.48</v>
      </c>
      <c r="P12" s="173" t="s">
        <v>583</v>
      </c>
    </row>
    <row r="13" spans="1:16" ht="30" customHeight="1" x14ac:dyDescent="0.2">
      <c r="A13" s="175" t="s">
        <v>584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7"/>
      <c r="N13" s="177"/>
      <c r="O13" s="177"/>
      <c r="P13" s="176"/>
    </row>
    <row r="14" spans="1:16" ht="25.5" customHeight="1" x14ac:dyDescent="0.2">
      <c r="A14" s="178" t="s">
        <v>585</v>
      </c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80"/>
      <c r="N14" s="180"/>
      <c r="O14" s="181">
        <f>SUM(O3:O12)</f>
        <v>8281.2900000000009</v>
      </c>
      <c r="P14" s="179"/>
    </row>
  </sheetData>
  <autoFilter ref="A2:P14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9"/>
  <sheetViews>
    <sheetView showGridLines="0" zoomScale="120" zoomScaleNormal="120" workbookViewId="0">
      <pane ySplit="2" topLeftCell="A3" activePane="bottomLeft" state="frozen"/>
      <selection pane="bottomLeft" activeCell="F13" sqref="F13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3" width="14" customWidth="1"/>
    <col min="4" max="4" width="38" customWidth="1"/>
    <col min="5" max="5" width="14" customWidth="1"/>
    <col min="6" max="6" width="12" customWidth="1"/>
    <col min="7" max="7" width="45" customWidth="1"/>
  </cols>
  <sheetData>
    <row r="1" spans="1:7" ht="30" customHeight="1" x14ac:dyDescent="0.2">
      <c r="A1" s="182" t="s">
        <v>586</v>
      </c>
      <c r="B1" s="183"/>
      <c r="C1" s="183"/>
      <c r="D1" s="183"/>
      <c r="E1" s="183"/>
      <c r="F1" s="183"/>
      <c r="G1" s="183"/>
    </row>
    <row r="2" spans="1:7" ht="36" customHeight="1" x14ac:dyDescent="0.2">
      <c r="A2" s="184" t="s">
        <v>152</v>
      </c>
      <c r="B2" s="184" t="s">
        <v>587</v>
      </c>
      <c r="C2" s="184" t="s">
        <v>155</v>
      </c>
      <c r="D2" s="184" t="s">
        <v>588</v>
      </c>
      <c r="E2" s="184" t="s">
        <v>589</v>
      </c>
      <c r="F2" s="184" t="s">
        <v>590</v>
      </c>
      <c r="G2" s="184" t="s">
        <v>80</v>
      </c>
    </row>
    <row r="3" spans="1:7" ht="27.75" customHeight="1" x14ac:dyDescent="0.2">
      <c r="A3" s="185">
        <v>1</v>
      </c>
      <c r="B3" s="186" t="s">
        <v>591</v>
      </c>
      <c r="C3" s="187" t="s">
        <v>162</v>
      </c>
      <c r="D3" s="188" t="s">
        <v>592</v>
      </c>
      <c r="E3" s="189" t="s">
        <v>593</v>
      </c>
      <c r="F3" s="190">
        <v>69</v>
      </c>
      <c r="G3" s="188" t="s">
        <v>594</v>
      </c>
    </row>
    <row r="4" spans="1:7" ht="27.75" customHeight="1" x14ac:dyDescent="0.2">
      <c r="A4" s="191">
        <v>2</v>
      </c>
      <c r="B4" s="192" t="s">
        <v>595</v>
      </c>
      <c r="C4" s="193" t="s">
        <v>162</v>
      </c>
      <c r="D4" s="194" t="s">
        <v>596</v>
      </c>
      <c r="E4" s="195" t="s">
        <v>593</v>
      </c>
      <c r="F4" s="196">
        <v>234.25</v>
      </c>
      <c r="G4" s="194" t="s">
        <v>597</v>
      </c>
    </row>
    <row r="5" spans="1:7" ht="27.75" customHeight="1" x14ac:dyDescent="0.2">
      <c r="A5" s="185">
        <v>3</v>
      </c>
      <c r="B5" s="186" t="s">
        <v>598</v>
      </c>
      <c r="C5" s="187" t="s">
        <v>162</v>
      </c>
      <c r="D5" s="188" t="s">
        <v>599</v>
      </c>
      <c r="E5" s="189" t="s">
        <v>593</v>
      </c>
      <c r="F5" s="190">
        <v>329.83</v>
      </c>
      <c r="G5" s="188" t="s">
        <v>600</v>
      </c>
    </row>
    <row r="6" spans="1:7" ht="27.75" customHeight="1" x14ac:dyDescent="0.2">
      <c r="A6" s="197">
        <v>4</v>
      </c>
      <c r="B6" s="198" t="s">
        <v>601</v>
      </c>
      <c r="C6" s="199" t="s">
        <v>162</v>
      </c>
      <c r="D6" s="200" t="s">
        <v>602</v>
      </c>
      <c r="E6" s="201" t="s">
        <v>593</v>
      </c>
      <c r="F6" s="202">
        <v>36.24</v>
      </c>
      <c r="G6" s="200" t="s">
        <v>603</v>
      </c>
    </row>
    <row r="7" spans="1:7" ht="27.75" customHeight="1" x14ac:dyDescent="0.2">
      <c r="A7" s="185">
        <v>5</v>
      </c>
      <c r="B7" s="186" t="s">
        <v>303</v>
      </c>
      <c r="C7" s="187" t="s">
        <v>162</v>
      </c>
      <c r="D7" s="188" t="s">
        <v>604</v>
      </c>
      <c r="E7" s="189" t="s">
        <v>593</v>
      </c>
      <c r="F7" s="190">
        <v>244.6</v>
      </c>
      <c r="G7" s="188" t="s">
        <v>605</v>
      </c>
    </row>
    <row r="8" spans="1:7" ht="27.75" customHeight="1" x14ac:dyDescent="0.2">
      <c r="A8" s="191">
        <v>6</v>
      </c>
      <c r="B8" s="192" t="s">
        <v>606</v>
      </c>
      <c r="C8" s="193" t="s">
        <v>162</v>
      </c>
      <c r="D8" s="194" t="s">
        <v>607</v>
      </c>
      <c r="E8" s="195" t="s">
        <v>593</v>
      </c>
      <c r="F8" s="196">
        <v>18.5</v>
      </c>
      <c r="G8" s="194" t="s">
        <v>608</v>
      </c>
    </row>
    <row r="9" spans="1:7" ht="27.75" customHeight="1" x14ac:dyDescent="0.2">
      <c r="A9" s="185">
        <v>7</v>
      </c>
      <c r="B9" s="186" t="s">
        <v>609</v>
      </c>
      <c r="C9" s="187" t="s">
        <v>162</v>
      </c>
      <c r="D9" s="188" t="s">
        <v>610</v>
      </c>
      <c r="E9" s="189" t="s">
        <v>593</v>
      </c>
      <c r="F9" s="190">
        <v>85.01</v>
      </c>
      <c r="G9" s="188" t="s">
        <v>611</v>
      </c>
    </row>
    <row r="10" spans="1:7" ht="27.75" customHeight="1" x14ac:dyDescent="0.2">
      <c r="A10" s="191">
        <v>8</v>
      </c>
      <c r="B10" s="192" t="s">
        <v>352</v>
      </c>
      <c r="C10" s="193" t="s">
        <v>162</v>
      </c>
      <c r="D10" s="194" t="s">
        <v>612</v>
      </c>
      <c r="E10" s="195" t="s">
        <v>593</v>
      </c>
      <c r="F10" s="196">
        <v>0.2</v>
      </c>
      <c r="G10" s="194" t="s">
        <v>613</v>
      </c>
    </row>
    <row r="11" spans="1:7" ht="27.75" customHeight="1" x14ac:dyDescent="0.2">
      <c r="A11" s="185">
        <v>9</v>
      </c>
      <c r="B11" s="186" t="s">
        <v>355</v>
      </c>
      <c r="C11" s="187" t="s">
        <v>162</v>
      </c>
      <c r="D11" s="188" t="s">
        <v>614</v>
      </c>
      <c r="E11" s="189" t="s">
        <v>593</v>
      </c>
      <c r="F11" s="190">
        <v>12.2</v>
      </c>
      <c r="G11" s="188" t="s">
        <v>615</v>
      </c>
    </row>
    <row r="12" spans="1:7" ht="27.75" customHeight="1" x14ac:dyDescent="0.2">
      <c r="A12" s="191">
        <v>10</v>
      </c>
      <c r="B12" s="192" t="s">
        <v>307</v>
      </c>
      <c r="C12" s="193" t="s">
        <v>162</v>
      </c>
      <c r="D12" s="194" t="s">
        <v>616</v>
      </c>
      <c r="E12" s="195" t="s">
        <v>593</v>
      </c>
      <c r="F12" s="196">
        <v>84.28</v>
      </c>
      <c r="G12" s="194" t="s">
        <v>617</v>
      </c>
    </row>
    <row r="13" spans="1:7" ht="27.75" customHeight="1" x14ac:dyDescent="0.2">
      <c r="A13" s="185">
        <v>11</v>
      </c>
      <c r="B13" s="186" t="s">
        <v>618</v>
      </c>
      <c r="C13" s="187" t="s">
        <v>162</v>
      </c>
      <c r="D13" s="188" t="s">
        <v>619</v>
      </c>
      <c r="E13" s="189" t="s">
        <v>593</v>
      </c>
      <c r="F13" s="190">
        <v>391.78</v>
      </c>
      <c r="G13" s="188" t="s">
        <v>620</v>
      </c>
    </row>
    <row r="14" spans="1:7" ht="27.75" customHeight="1" x14ac:dyDescent="0.2">
      <c r="A14" s="191">
        <v>12</v>
      </c>
      <c r="B14" s="192" t="s">
        <v>621</v>
      </c>
      <c r="C14" s="193" t="s">
        <v>162</v>
      </c>
      <c r="D14" s="194" t="s">
        <v>622</v>
      </c>
      <c r="E14" s="195" t="s">
        <v>593</v>
      </c>
      <c r="F14" s="196">
        <v>74.239999999999995</v>
      </c>
      <c r="G14" s="194" t="s">
        <v>623</v>
      </c>
    </row>
    <row r="15" spans="1:7" ht="27.75" customHeight="1" x14ac:dyDescent="0.2">
      <c r="A15" s="185">
        <v>13</v>
      </c>
      <c r="B15" s="186" t="s">
        <v>624</v>
      </c>
      <c r="C15" s="187" t="s">
        <v>162</v>
      </c>
      <c r="D15" s="188" t="s">
        <v>625</v>
      </c>
      <c r="E15" s="189" t="s">
        <v>593</v>
      </c>
      <c r="F15" s="190">
        <v>52.74</v>
      </c>
      <c r="G15" s="188" t="s">
        <v>626</v>
      </c>
    </row>
    <row r="16" spans="1:7" ht="27.75" customHeight="1" x14ac:dyDescent="0.2">
      <c r="A16" s="191">
        <v>14</v>
      </c>
      <c r="B16" s="192" t="s">
        <v>627</v>
      </c>
      <c r="C16" s="193" t="s">
        <v>162</v>
      </c>
      <c r="D16" s="194" t="s">
        <v>628</v>
      </c>
      <c r="E16" s="195" t="s">
        <v>593</v>
      </c>
      <c r="F16" s="196">
        <v>0</v>
      </c>
      <c r="G16" s="194" t="s">
        <v>629</v>
      </c>
    </row>
    <row r="17" spans="1:7" ht="27.75" customHeight="1" x14ac:dyDescent="0.2">
      <c r="A17" s="185">
        <v>15</v>
      </c>
      <c r="B17" s="186" t="s">
        <v>630</v>
      </c>
      <c r="C17" s="187" t="s">
        <v>162</v>
      </c>
      <c r="D17" s="188" t="s">
        <v>631</v>
      </c>
      <c r="E17" s="189" t="s">
        <v>593</v>
      </c>
      <c r="F17" s="190">
        <v>0</v>
      </c>
      <c r="G17" s="188" t="s">
        <v>632</v>
      </c>
    </row>
    <row r="18" spans="1:7" ht="27.75" customHeight="1" x14ac:dyDescent="0.2">
      <c r="A18" s="191">
        <v>16</v>
      </c>
      <c r="B18" s="192" t="s">
        <v>374</v>
      </c>
      <c r="C18" s="193" t="s">
        <v>162</v>
      </c>
      <c r="D18" s="194" t="s">
        <v>633</v>
      </c>
      <c r="E18" s="195" t="s">
        <v>593</v>
      </c>
      <c r="F18" s="196">
        <v>3.3</v>
      </c>
      <c r="G18" s="194" t="s">
        <v>634</v>
      </c>
    </row>
    <row r="19" spans="1:7" ht="27.75" customHeight="1" x14ac:dyDescent="0.2">
      <c r="A19" s="185">
        <v>17</v>
      </c>
      <c r="B19" s="186" t="s">
        <v>376</v>
      </c>
      <c r="C19" s="187" t="s">
        <v>377</v>
      </c>
      <c r="D19" s="188" t="s">
        <v>635</v>
      </c>
      <c r="E19" s="189" t="s">
        <v>636</v>
      </c>
      <c r="F19" s="190">
        <v>6.1</v>
      </c>
      <c r="G19" s="188" t="s">
        <v>637</v>
      </c>
    </row>
    <row r="20" spans="1:7" ht="27.75" customHeight="1" x14ac:dyDescent="0.2">
      <c r="A20" s="165">
        <v>18</v>
      </c>
      <c r="B20" s="166" t="s">
        <v>638</v>
      </c>
      <c r="C20" s="168" t="s">
        <v>230</v>
      </c>
      <c r="D20" s="169" t="s">
        <v>639</v>
      </c>
      <c r="E20" s="167" t="s">
        <v>593</v>
      </c>
      <c r="F20" s="203">
        <v>1191.28</v>
      </c>
      <c r="G20" s="169" t="s">
        <v>640</v>
      </c>
    </row>
    <row r="21" spans="1:7" ht="27.75" customHeight="1" x14ac:dyDescent="0.2">
      <c r="A21" s="165">
        <v>19</v>
      </c>
      <c r="B21" s="166" t="s">
        <v>641</v>
      </c>
      <c r="C21" s="168" t="s">
        <v>642</v>
      </c>
      <c r="D21" s="169" t="s">
        <v>643</v>
      </c>
      <c r="E21" s="167" t="s">
        <v>593</v>
      </c>
      <c r="F21" s="203">
        <v>176.13</v>
      </c>
      <c r="G21" s="169" t="s">
        <v>644</v>
      </c>
    </row>
    <row r="22" spans="1:7" ht="27.75" customHeight="1" x14ac:dyDescent="0.2">
      <c r="A22" s="165">
        <v>20</v>
      </c>
      <c r="B22" s="166" t="s">
        <v>645</v>
      </c>
      <c r="C22" s="168" t="s">
        <v>230</v>
      </c>
      <c r="D22" s="169" t="s">
        <v>646</v>
      </c>
      <c r="E22" s="167" t="s">
        <v>593</v>
      </c>
      <c r="F22" s="203">
        <v>329.83</v>
      </c>
      <c r="G22" s="169" t="s">
        <v>647</v>
      </c>
    </row>
    <row r="23" spans="1:7" ht="27.75" customHeight="1" x14ac:dyDescent="0.2">
      <c r="A23" s="204">
        <v>21</v>
      </c>
      <c r="B23" s="205" t="s">
        <v>648</v>
      </c>
      <c r="C23" s="206" t="s">
        <v>230</v>
      </c>
      <c r="D23" s="207" t="s">
        <v>649</v>
      </c>
      <c r="E23" s="208" t="s">
        <v>593</v>
      </c>
      <c r="F23" s="209">
        <v>15.1</v>
      </c>
      <c r="G23" s="207" t="s">
        <v>650</v>
      </c>
    </row>
    <row r="24" spans="1:7" ht="27.75" customHeight="1" x14ac:dyDescent="0.2">
      <c r="A24" s="165">
        <v>22</v>
      </c>
      <c r="B24" s="166" t="s">
        <v>651</v>
      </c>
      <c r="C24" s="168" t="s">
        <v>230</v>
      </c>
      <c r="D24" s="169" t="s">
        <v>652</v>
      </c>
      <c r="E24" s="167" t="s">
        <v>593</v>
      </c>
      <c r="F24" s="203">
        <v>295.62</v>
      </c>
      <c r="G24" s="169" t="s">
        <v>653</v>
      </c>
    </row>
    <row r="25" spans="1:7" ht="27.75" customHeight="1" x14ac:dyDescent="0.2">
      <c r="A25" s="165">
        <v>23</v>
      </c>
      <c r="B25" s="166" t="s">
        <v>654</v>
      </c>
      <c r="C25" s="168" t="s">
        <v>230</v>
      </c>
      <c r="D25" s="169" t="s">
        <v>655</v>
      </c>
      <c r="E25" s="167" t="s">
        <v>593</v>
      </c>
      <c r="F25" s="203">
        <v>56.6</v>
      </c>
      <c r="G25" s="169" t="s">
        <v>656</v>
      </c>
    </row>
    <row r="26" spans="1:7" ht="27.75" customHeight="1" x14ac:dyDescent="0.2">
      <c r="A26" s="165">
        <v>24</v>
      </c>
      <c r="B26" s="166" t="s">
        <v>657</v>
      </c>
      <c r="C26" s="168" t="s">
        <v>230</v>
      </c>
      <c r="D26" s="169" t="s">
        <v>658</v>
      </c>
      <c r="E26" s="167" t="s">
        <v>593</v>
      </c>
      <c r="F26" s="203">
        <v>69.11</v>
      </c>
      <c r="G26" s="169" t="s">
        <v>659</v>
      </c>
    </row>
    <row r="27" spans="1:7" ht="27.75" customHeight="1" x14ac:dyDescent="0.2">
      <c r="A27" s="165">
        <v>25</v>
      </c>
      <c r="B27" s="166" t="s">
        <v>660</v>
      </c>
      <c r="C27" s="168" t="s">
        <v>230</v>
      </c>
      <c r="D27" s="169" t="s">
        <v>661</v>
      </c>
      <c r="E27" s="167" t="s">
        <v>593</v>
      </c>
      <c r="F27" s="203">
        <v>74.239999999999995</v>
      </c>
      <c r="G27" s="169" t="s">
        <v>662</v>
      </c>
    </row>
    <row r="28" spans="1:7" ht="25.5" customHeight="1" x14ac:dyDescent="0.2">
      <c r="A28" s="165">
        <v>26</v>
      </c>
      <c r="B28" s="166" t="s">
        <v>663</v>
      </c>
      <c r="C28" s="168" t="s">
        <v>230</v>
      </c>
      <c r="D28" s="169" t="s">
        <v>664</v>
      </c>
      <c r="E28" s="167" t="s">
        <v>593</v>
      </c>
      <c r="F28" s="203">
        <v>98.3</v>
      </c>
      <c r="G28" s="169" t="s">
        <v>665</v>
      </c>
    </row>
    <row r="29" spans="1:7" x14ac:dyDescent="0.2">
      <c r="A29" s="210" t="s">
        <v>666</v>
      </c>
      <c r="B29" s="211"/>
      <c r="C29" s="211"/>
      <c r="D29" s="211"/>
      <c r="E29" s="211"/>
      <c r="F29" s="212">
        <f>SUM(F3:F28)</f>
        <v>3948.4799999999996</v>
      </c>
      <c r="G29" s="211"/>
    </row>
  </sheetData>
  <autoFilter ref="A2:G27" xr:uid="{00000000-0009-0000-0000-00000A000000}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"/>
  <sheetViews>
    <sheetView showGridLines="0" zoomScale="120" zoomScaleNormal="120" workbookViewId="0">
      <pane ySplit="2" topLeftCell="A1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3" width="14" customWidth="1"/>
    <col min="4" max="4" width="38" customWidth="1"/>
    <col min="5" max="5" width="14" customWidth="1"/>
    <col min="6" max="6" width="12" customWidth="1"/>
    <col min="7" max="7" width="45" customWidth="1"/>
  </cols>
  <sheetData>
    <row r="1" spans="1:7" ht="30" customHeight="1" x14ac:dyDescent="0.2">
      <c r="A1" s="182" t="s">
        <v>586</v>
      </c>
      <c r="B1" s="183"/>
      <c r="C1" s="183"/>
      <c r="D1" s="183"/>
      <c r="E1" s="183"/>
      <c r="F1" s="183"/>
      <c r="G1" s="183"/>
    </row>
    <row r="2" spans="1:7" ht="36" customHeight="1" x14ac:dyDescent="0.2">
      <c r="A2" s="184" t="s">
        <v>152</v>
      </c>
      <c r="B2" s="184" t="s">
        <v>587</v>
      </c>
      <c r="C2" s="184" t="s">
        <v>155</v>
      </c>
      <c r="D2" s="184" t="s">
        <v>588</v>
      </c>
      <c r="E2" s="184" t="s">
        <v>589</v>
      </c>
      <c r="F2" s="184" t="s">
        <v>590</v>
      </c>
      <c r="G2" s="184" t="s">
        <v>80</v>
      </c>
    </row>
    <row r="3" spans="1:7" ht="27.75" customHeight="1" x14ac:dyDescent="0.2">
      <c r="A3" s="185">
        <v>1</v>
      </c>
      <c r="B3" s="186" t="s">
        <v>591</v>
      </c>
      <c r="C3" s="187" t="s">
        <v>162</v>
      </c>
      <c r="D3" s="188" t="s">
        <v>592</v>
      </c>
      <c r="E3" s="189" t="s">
        <v>593</v>
      </c>
      <c r="F3" s="190">
        <v>69</v>
      </c>
      <c r="G3" s="188" t="s">
        <v>594</v>
      </c>
    </row>
    <row r="4" spans="1:7" ht="27.75" customHeight="1" x14ac:dyDescent="0.2">
      <c r="A4" s="191">
        <v>2</v>
      </c>
      <c r="B4" s="192" t="s">
        <v>595</v>
      </c>
      <c r="C4" s="193" t="s">
        <v>162</v>
      </c>
      <c r="D4" s="194" t="s">
        <v>596</v>
      </c>
      <c r="E4" s="195" t="s">
        <v>593</v>
      </c>
      <c r="F4" s="196">
        <v>234.25</v>
      </c>
      <c r="G4" s="194" t="s">
        <v>597</v>
      </c>
    </row>
    <row r="5" spans="1:7" ht="27.75" customHeight="1" x14ac:dyDescent="0.2">
      <c r="A5" s="185">
        <v>3</v>
      </c>
      <c r="B5" s="186" t="s">
        <v>598</v>
      </c>
      <c r="C5" s="187" t="s">
        <v>162</v>
      </c>
      <c r="D5" s="188" t="s">
        <v>667</v>
      </c>
      <c r="E5" s="189" t="s">
        <v>593</v>
      </c>
      <c r="F5" s="190">
        <v>271.14</v>
      </c>
      <c r="G5" s="188" t="s">
        <v>600</v>
      </c>
    </row>
    <row r="6" spans="1:7" ht="27.75" customHeight="1" x14ac:dyDescent="0.2">
      <c r="A6" s="213">
        <v>4</v>
      </c>
      <c r="B6" s="214" t="s">
        <v>601</v>
      </c>
      <c r="C6" s="215" t="s">
        <v>162</v>
      </c>
      <c r="D6" s="216" t="s">
        <v>602</v>
      </c>
      <c r="E6" s="217" t="s">
        <v>593</v>
      </c>
      <c r="F6" s="218">
        <v>36.24</v>
      </c>
      <c r="G6" s="216" t="s">
        <v>603</v>
      </c>
    </row>
    <row r="7" spans="1:7" ht="27.75" customHeight="1" x14ac:dyDescent="0.2">
      <c r="A7" s="185">
        <v>5</v>
      </c>
      <c r="B7" s="186" t="s">
        <v>303</v>
      </c>
      <c r="C7" s="187" t="s">
        <v>162</v>
      </c>
      <c r="D7" s="188" t="s">
        <v>604</v>
      </c>
      <c r="E7" s="189" t="s">
        <v>593</v>
      </c>
      <c r="F7" s="190">
        <v>244.6</v>
      </c>
      <c r="G7" s="188" t="s">
        <v>605</v>
      </c>
    </row>
    <row r="8" spans="1:7" ht="27.75" customHeight="1" x14ac:dyDescent="0.2">
      <c r="A8" s="191">
        <v>6</v>
      </c>
      <c r="B8" s="192" t="s">
        <v>606</v>
      </c>
      <c r="C8" s="193" t="s">
        <v>162</v>
      </c>
      <c r="D8" s="194" t="s">
        <v>607</v>
      </c>
      <c r="E8" s="195" t="s">
        <v>593</v>
      </c>
      <c r="F8" s="196">
        <v>18.5</v>
      </c>
      <c r="G8" s="194" t="s">
        <v>608</v>
      </c>
    </row>
    <row r="9" spans="1:7" ht="27.75" customHeight="1" x14ac:dyDescent="0.2">
      <c r="A9" s="185">
        <v>7</v>
      </c>
      <c r="B9" s="186" t="s">
        <v>609</v>
      </c>
      <c r="C9" s="187" t="s">
        <v>162</v>
      </c>
      <c r="D9" s="188" t="s">
        <v>610</v>
      </c>
      <c r="E9" s="189" t="s">
        <v>593</v>
      </c>
      <c r="F9" s="190">
        <v>85</v>
      </c>
      <c r="G9" s="188" t="s">
        <v>611</v>
      </c>
    </row>
    <row r="10" spans="1:7" ht="27.75" customHeight="1" x14ac:dyDescent="0.2">
      <c r="A10" s="191">
        <v>8</v>
      </c>
      <c r="B10" s="192" t="s">
        <v>352</v>
      </c>
      <c r="C10" s="193" t="s">
        <v>162</v>
      </c>
      <c r="D10" s="194" t="s">
        <v>612</v>
      </c>
      <c r="E10" s="195" t="s">
        <v>593</v>
      </c>
      <c r="F10" s="196">
        <v>0.2</v>
      </c>
      <c r="G10" s="194" t="s">
        <v>613</v>
      </c>
    </row>
    <row r="11" spans="1:7" ht="27.75" customHeight="1" x14ac:dyDescent="0.2">
      <c r="A11" s="185">
        <v>9</v>
      </c>
      <c r="B11" s="186" t="s">
        <v>355</v>
      </c>
      <c r="C11" s="187" t="s">
        <v>162</v>
      </c>
      <c r="D11" s="188" t="s">
        <v>614</v>
      </c>
      <c r="E11" s="189" t="s">
        <v>593</v>
      </c>
      <c r="F11" s="190">
        <v>12.2</v>
      </c>
      <c r="G11" s="188" t="s">
        <v>615</v>
      </c>
    </row>
    <row r="12" spans="1:7" ht="27.75" customHeight="1" x14ac:dyDescent="0.2">
      <c r="A12" s="191">
        <v>10</v>
      </c>
      <c r="B12" s="192" t="s">
        <v>307</v>
      </c>
      <c r="C12" s="193" t="s">
        <v>162</v>
      </c>
      <c r="D12" s="194" t="s">
        <v>616</v>
      </c>
      <c r="E12" s="195" t="s">
        <v>593</v>
      </c>
      <c r="F12" s="196">
        <v>84.28</v>
      </c>
      <c r="G12" s="194" t="s">
        <v>617</v>
      </c>
    </row>
    <row r="13" spans="1:7" ht="27.75" customHeight="1" x14ac:dyDescent="0.2">
      <c r="A13" s="185">
        <v>11</v>
      </c>
      <c r="B13" s="186" t="s">
        <v>618</v>
      </c>
      <c r="C13" s="187" t="s">
        <v>162</v>
      </c>
      <c r="D13" s="188" t="s">
        <v>668</v>
      </c>
      <c r="E13" s="189" t="s">
        <v>593</v>
      </c>
      <c r="F13" s="190">
        <v>550</v>
      </c>
      <c r="G13" s="188" t="s">
        <v>669</v>
      </c>
    </row>
    <row r="14" spans="1:7" ht="27.75" customHeight="1" x14ac:dyDescent="0.2">
      <c r="A14" s="191">
        <v>12</v>
      </c>
      <c r="B14" s="192" t="s">
        <v>621</v>
      </c>
      <c r="C14" s="193" t="s">
        <v>162</v>
      </c>
      <c r="D14" s="194" t="s">
        <v>622</v>
      </c>
      <c r="E14" s="195" t="s">
        <v>593</v>
      </c>
      <c r="F14" s="196">
        <v>74.239999999999995</v>
      </c>
      <c r="G14" s="194" t="s">
        <v>623</v>
      </c>
    </row>
    <row r="15" spans="1:7" ht="27.75" customHeight="1" x14ac:dyDescent="0.2">
      <c r="A15" s="185">
        <v>13</v>
      </c>
      <c r="B15" s="186" t="s">
        <v>624</v>
      </c>
      <c r="C15" s="187" t="s">
        <v>162</v>
      </c>
      <c r="D15" s="188" t="s">
        <v>625</v>
      </c>
      <c r="E15" s="189" t="s">
        <v>593</v>
      </c>
      <c r="F15" s="190">
        <v>52.74</v>
      </c>
      <c r="G15" s="188" t="s">
        <v>626</v>
      </c>
    </row>
    <row r="16" spans="1:7" ht="27.75" customHeight="1" x14ac:dyDescent="0.2">
      <c r="A16" s="191">
        <v>14</v>
      </c>
      <c r="B16" s="192" t="s">
        <v>627</v>
      </c>
      <c r="C16" s="193" t="s">
        <v>162</v>
      </c>
      <c r="D16" s="194" t="s">
        <v>628</v>
      </c>
      <c r="E16" s="195" t="s">
        <v>593</v>
      </c>
      <c r="F16" s="196">
        <v>90</v>
      </c>
      <c r="G16" s="194" t="s">
        <v>629</v>
      </c>
    </row>
    <row r="17" spans="1:7" ht="27.75" customHeight="1" x14ac:dyDescent="0.2">
      <c r="A17" s="185">
        <v>15</v>
      </c>
      <c r="B17" s="186" t="s">
        <v>630</v>
      </c>
      <c r="C17" s="187" t="s">
        <v>162</v>
      </c>
      <c r="D17" s="188" t="s">
        <v>631</v>
      </c>
      <c r="E17" s="189" t="s">
        <v>593</v>
      </c>
      <c r="F17" s="190">
        <v>0</v>
      </c>
      <c r="G17" s="188" t="s">
        <v>632</v>
      </c>
    </row>
    <row r="18" spans="1:7" ht="27.75" customHeight="1" x14ac:dyDescent="0.2">
      <c r="A18" s="191">
        <v>16</v>
      </c>
      <c r="B18" s="192" t="s">
        <v>374</v>
      </c>
      <c r="C18" s="193" t="s">
        <v>162</v>
      </c>
      <c r="D18" s="194" t="s">
        <v>633</v>
      </c>
      <c r="E18" s="195" t="s">
        <v>593</v>
      </c>
      <c r="F18" s="196">
        <v>3.3</v>
      </c>
      <c r="G18" s="194" t="s">
        <v>634</v>
      </c>
    </row>
    <row r="19" spans="1:7" ht="27.75" customHeight="1" x14ac:dyDescent="0.2">
      <c r="A19" s="185">
        <v>17</v>
      </c>
      <c r="B19" s="186" t="s">
        <v>376</v>
      </c>
      <c r="C19" s="187" t="s">
        <v>377</v>
      </c>
      <c r="D19" s="188" t="s">
        <v>635</v>
      </c>
      <c r="E19" s="189" t="s">
        <v>636</v>
      </c>
      <c r="F19" s="190">
        <v>6.1</v>
      </c>
      <c r="G19" s="188" t="s">
        <v>637</v>
      </c>
    </row>
    <row r="20" spans="1:7" ht="27.75" customHeight="1" x14ac:dyDescent="0.2">
      <c r="A20" s="165">
        <v>18</v>
      </c>
      <c r="B20" s="166" t="s">
        <v>638</v>
      </c>
      <c r="C20" s="168" t="s">
        <v>230</v>
      </c>
      <c r="D20" s="169" t="s">
        <v>639</v>
      </c>
      <c r="E20" s="167" t="s">
        <v>593</v>
      </c>
      <c r="F20" s="203">
        <v>1191.28</v>
      </c>
      <c r="G20" s="169" t="s">
        <v>640</v>
      </c>
    </row>
    <row r="21" spans="1:7" ht="27.75" customHeight="1" x14ac:dyDescent="0.2">
      <c r="A21" s="165">
        <v>19</v>
      </c>
      <c r="B21" s="166" t="s">
        <v>641</v>
      </c>
      <c r="C21" s="168" t="s">
        <v>642</v>
      </c>
      <c r="D21" s="169" t="s">
        <v>670</v>
      </c>
      <c r="E21" s="167" t="s">
        <v>593</v>
      </c>
      <c r="F21" s="203">
        <v>61.5</v>
      </c>
      <c r="G21" s="169" t="s">
        <v>644</v>
      </c>
    </row>
    <row r="22" spans="1:7" ht="27.75" customHeight="1" x14ac:dyDescent="0.2">
      <c r="A22" s="165">
        <v>20</v>
      </c>
      <c r="B22" s="166" t="s">
        <v>645</v>
      </c>
      <c r="C22" s="168" t="s">
        <v>230</v>
      </c>
      <c r="D22" s="169" t="s">
        <v>671</v>
      </c>
      <c r="E22" s="167" t="s">
        <v>593</v>
      </c>
      <c r="F22" s="203">
        <v>271.14</v>
      </c>
      <c r="G22" s="169" t="s">
        <v>647</v>
      </c>
    </row>
    <row r="23" spans="1:7" ht="27.75" customHeight="1" x14ac:dyDescent="0.2">
      <c r="A23" s="204">
        <v>21</v>
      </c>
      <c r="B23" s="205" t="s">
        <v>648</v>
      </c>
      <c r="C23" s="206" t="s">
        <v>230</v>
      </c>
      <c r="D23" s="207" t="s">
        <v>649</v>
      </c>
      <c r="E23" s="208" t="s">
        <v>593</v>
      </c>
      <c r="F23" s="209">
        <v>70</v>
      </c>
      <c r="G23" s="207" t="s">
        <v>650</v>
      </c>
    </row>
    <row r="24" spans="1:7" ht="27.75" customHeight="1" x14ac:dyDescent="0.2">
      <c r="A24" s="165">
        <v>22</v>
      </c>
      <c r="B24" s="166" t="s">
        <v>651</v>
      </c>
      <c r="C24" s="168" t="s">
        <v>230</v>
      </c>
      <c r="D24" s="169" t="s">
        <v>672</v>
      </c>
      <c r="E24" s="167" t="s">
        <v>593</v>
      </c>
      <c r="F24" s="203">
        <v>380</v>
      </c>
      <c r="G24" s="169" t="s">
        <v>673</v>
      </c>
    </row>
    <row r="25" spans="1:7" ht="27.75" customHeight="1" x14ac:dyDescent="0.2">
      <c r="A25" s="165">
        <v>23</v>
      </c>
      <c r="B25" s="166" t="s">
        <v>657</v>
      </c>
      <c r="C25" s="168" t="s">
        <v>230</v>
      </c>
      <c r="D25" s="169" t="s">
        <v>658</v>
      </c>
      <c r="E25" s="167" t="s">
        <v>593</v>
      </c>
      <c r="F25" s="203">
        <v>69.11</v>
      </c>
      <c r="G25" s="169" t="s">
        <v>659</v>
      </c>
    </row>
    <row r="26" spans="1:7" ht="27.75" customHeight="1" x14ac:dyDescent="0.2">
      <c r="A26" s="165">
        <v>24</v>
      </c>
      <c r="B26" s="166" t="s">
        <v>660</v>
      </c>
      <c r="C26" s="168" t="s">
        <v>230</v>
      </c>
      <c r="D26" s="169" t="s">
        <v>661</v>
      </c>
      <c r="E26" s="167" t="s">
        <v>593</v>
      </c>
      <c r="F26" s="203">
        <v>74.239999999999995</v>
      </c>
      <c r="G26" s="169" t="s">
        <v>662</v>
      </c>
    </row>
    <row r="27" spans="1:7" ht="27.75" customHeight="1" x14ac:dyDescent="0.2">
      <c r="A27" s="165">
        <v>25</v>
      </c>
      <c r="B27" s="166" t="s">
        <v>663</v>
      </c>
      <c r="C27" s="168" t="s">
        <v>230</v>
      </c>
      <c r="D27" s="169" t="s">
        <v>664</v>
      </c>
      <c r="E27" s="167" t="s">
        <v>593</v>
      </c>
      <c r="F27" s="203">
        <v>98.3</v>
      </c>
      <c r="G27" s="169" t="s">
        <v>665</v>
      </c>
    </row>
    <row r="28" spans="1:7" ht="25.5" customHeight="1" x14ac:dyDescent="0.2">
      <c r="A28" s="210" t="s">
        <v>666</v>
      </c>
      <c r="B28" s="211"/>
      <c r="C28" s="211"/>
      <c r="D28" s="211"/>
      <c r="E28" s="211"/>
      <c r="F28" s="212">
        <f>SUM(F3:F27)</f>
        <v>4047.3599999999997</v>
      </c>
      <c r="G28" s="211"/>
    </row>
  </sheetData>
  <autoFilter ref="A2:G27" xr:uid="{00000000-0009-0000-0000-00000B000000}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0"/>
  <sheetViews>
    <sheetView showGridLines="0" tabSelected="1" zoomScale="120" zoomScaleNormal="120" workbookViewId="0">
      <pane ySplit="2" topLeftCell="A3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5" customWidth="1"/>
    <col min="2" max="2" width="59.5" customWidth="1"/>
    <col min="3" max="3" width="14" customWidth="1"/>
    <col min="4" max="4" width="38" customWidth="1"/>
    <col min="5" max="5" width="14" customWidth="1"/>
    <col min="6" max="6" width="12" customWidth="1"/>
    <col min="7" max="7" width="45" customWidth="1"/>
  </cols>
  <sheetData>
    <row r="1" spans="1:7" ht="30" customHeight="1" x14ac:dyDescent="0.2">
      <c r="A1" s="219" t="s">
        <v>674</v>
      </c>
      <c r="B1" s="220"/>
      <c r="C1" s="220"/>
      <c r="D1" s="220"/>
      <c r="E1" s="220"/>
      <c r="F1" s="220"/>
      <c r="G1" s="220"/>
    </row>
    <row r="2" spans="1:7" ht="36" customHeight="1" x14ac:dyDescent="0.2">
      <c r="A2" s="221" t="s">
        <v>152</v>
      </c>
      <c r="B2" s="221" t="s">
        <v>675</v>
      </c>
      <c r="C2" s="221" t="s">
        <v>155</v>
      </c>
      <c r="D2" s="221" t="s">
        <v>588</v>
      </c>
      <c r="E2" s="221" t="s">
        <v>676</v>
      </c>
      <c r="F2" s="221" t="s">
        <v>590</v>
      </c>
      <c r="G2" s="221" t="s">
        <v>80</v>
      </c>
    </row>
    <row r="3" spans="1:7" ht="30" customHeight="1" x14ac:dyDescent="0.2">
      <c r="A3" s="222">
        <v>1</v>
      </c>
      <c r="B3" s="223" t="s">
        <v>677</v>
      </c>
      <c r="C3" s="224" t="s">
        <v>162</v>
      </c>
      <c r="D3" s="225" t="s">
        <v>678</v>
      </c>
      <c r="E3" s="226" t="s">
        <v>593</v>
      </c>
      <c r="F3" s="227">
        <v>128.86000000000001</v>
      </c>
      <c r="G3" s="225" t="s">
        <v>679</v>
      </c>
    </row>
    <row r="4" spans="1:7" ht="30" customHeight="1" x14ac:dyDescent="0.2">
      <c r="A4" s="222">
        <v>2</v>
      </c>
      <c r="B4" s="223" t="s">
        <v>680</v>
      </c>
      <c r="C4" s="224" t="s">
        <v>162</v>
      </c>
      <c r="D4" s="225" t="s">
        <v>681</v>
      </c>
      <c r="E4" s="226" t="s">
        <v>593</v>
      </c>
      <c r="F4" s="227">
        <v>18.239999999999998</v>
      </c>
      <c r="G4" s="225" t="s">
        <v>682</v>
      </c>
    </row>
    <row r="5" spans="1:7" ht="30" customHeight="1" x14ac:dyDescent="0.2">
      <c r="A5" s="222">
        <v>3</v>
      </c>
      <c r="B5" s="223" t="s">
        <v>683</v>
      </c>
      <c r="C5" s="224" t="s">
        <v>162</v>
      </c>
      <c r="D5" s="225" t="s">
        <v>684</v>
      </c>
      <c r="E5" s="226" t="s">
        <v>593</v>
      </c>
      <c r="F5" s="227">
        <v>24.68</v>
      </c>
      <c r="G5" s="225" t="s">
        <v>685</v>
      </c>
    </row>
    <row r="6" spans="1:7" ht="52" x14ac:dyDescent="0.2">
      <c r="A6" s="222">
        <v>4</v>
      </c>
      <c r="B6" s="223" t="s">
        <v>686</v>
      </c>
      <c r="C6" s="224" t="s">
        <v>162</v>
      </c>
      <c r="D6" s="225" t="s">
        <v>687</v>
      </c>
      <c r="E6" s="226" t="s">
        <v>688</v>
      </c>
      <c r="F6" s="227">
        <v>724</v>
      </c>
      <c r="G6" s="225" t="s">
        <v>689</v>
      </c>
    </row>
    <row r="7" spans="1:7" ht="30" customHeight="1" x14ac:dyDescent="0.2">
      <c r="A7" s="222">
        <v>5</v>
      </c>
      <c r="B7" s="223" t="s">
        <v>690</v>
      </c>
      <c r="C7" s="228" t="s">
        <v>230</v>
      </c>
      <c r="D7" s="225" t="s">
        <v>691</v>
      </c>
      <c r="E7" s="226" t="s">
        <v>593</v>
      </c>
      <c r="F7" s="227">
        <v>80.3</v>
      </c>
      <c r="G7" s="225" t="s">
        <v>692</v>
      </c>
    </row>
    <row r="8" spans="1:7" ht="30" customHeight="1" x14ac:dyDescent="0.2">
      <c r="A8" s="222">
        <v>6</v>
      </c>
      <c r="B8" s="223" t="s">
        <v>693</v>
      </c>
      <c r="C8" s="228" t="s">
        <v>230</v>
      </c>
      <c r="D8" s="225" t="s">
        <v>681</v>
      </c>
      <c r="E8" s="226" t="s">
        <v>593</v>
      </c>
      <c r="F8" s="227">
        <v>18.239999999999998</v>
      </c>
      <c r="G8" s="225" t="s">
        <v>694</v>
      </c>
    </row>
    <row r="9" spans="1:7" ht="30" customHeight="1" x14ac:dyDescent="0.2">
      <c r="A9" s="222">
        <v>7</v>
      </c>
      <c r="B9" s="223" t="s">
        <v>695</v>
      </c>
      <c r="C9" s="228" t="s">
        <v>230</v>
      </c>
      <c r="D9" s="225" t="s">
        <v>408</v>
      </c>
      <c r="E9" s="226" t="s">
        <v>593</v>
      </c>
      <c r="F9" s="227">
        <v>24.68</v>
      </c>
      <c r="G9" s="225" t="s">
        <v>696</v>
      </c>
    </row>
    <row r="10" spans="1:7" ht="30" customHeight="1" x14ac:dyDescent="0.2">
      <c r="A10" s="222">
        <v>8</v>
      </c>
      <c r="B10" s="223" t="s">
        <v>697</v>
      </c>
      <c r="C10" s="228" t="s">
        <v>230</v>
      </c>
      <c r="D10" s="225" t="s">
        <v>698</v>
      </c>
      <c r="E10" s="226" t="s">
        <v>688</v>
      </c>
      <c r="F10" s="227">
        <v>724</v>
      </c>
      <c r="G10" s="225" t="s">
        <v>699</v>
      </c>
    </row>
    <row r="11" spans="1:7" ht="30" customHeight="1" x14ac:dyDescent="0.2">
      <c r="A11" s="104">
        <v>9</v>
      </c>
      <c r="B11" s="105" t="s">
        <v>700</v>
      </c>
      <c r="C11" s="229" t="s">
        <v>701</v>
      </c>
      <c r="D11" s="108" t="s">
        <v>702</v>
      </c>
      <c r="E11" s="106" t="s">
        <v>703</v>
      </c>
      <c r="F11" s="230">
        <v>800.02</v>
      </c>
      <c r="G11" s="108" t="s">
        <v>704</v>
      </c>
    </row>
    <row r="12" spans="1:7" ht="30" customHeight="1" x14ac:dyDescent="0.2">
      <c r="A12" s="104">
        <v>10</v>
      </c>
      <c r="B12" s="105" t="s">
        <v>705</v>
      </c>
      <c r="C12" s="229" t="s">
        <v>701</v>
      </c>
      <c r="D12" s="108" t="s">
        <v>706</v>
      </c>
      <c r="E12" s="106" t="s">
        <v>703</v>
      </c>
      <c r="F12" s="230">
        <v>1200.02</v>
      </c>
      <c r="G12" s="108" t="s">
        <v>707</v>
      </c>
    </row>
    <row r="13" spans="1:7" ht="30" customHeight="1" x14ac:dyDescent="0.2">
      <c r="A13" s="104">
        <v>11</v>
      </c>
      <c r="B13" s="105" t="s">
        <v>708</v>
      </c>
      <c r="C13" s="229" t="s">
        <v>701</v>
      </c>
      <c r="D13" s="108" t="s">
        <v>709</v>
      </c>
      <c r="E13" s="106" t="s">
        <v>703</v>
      </c>
      <c r="F13" s="230">
        <v>450.02</v>
      </c>
      <c r="G13" s="108" t="s">
        <v>710</v>
      </c>
    </row>
    <row r="14" spans="1:7" ht="30" customHeight="1" x14ac:dyDescent="0.2">
      <c r="A14" s="104">
        <v>12</v>
      </c>
      <c r="B14" s="105" t="s">
        <v>711</v>
      </c>
      <c r="C14" s="139" t="s">
        <v>712</v>
      </c>
      <c r="D14" s="108" t="s">
        <v>713</v>
      </c>
      <c r="E14" s="106" t="s">
        <v>593</v>
      </c>
      <c r="F14" s="230">
        <v>980.02</v>
      </c>
      <c r="G14" s="108" t="s">
        <v>714</v>
      </c>
    </row>
    <row r="15" spans="1:7" ht="30" customHeight="1" x14ac:dyDescent="0.2">
      <c r="A15" s="231">
        <v>13</v>
      </c>
      <c r="B15" s="232" t="s">
        <v>715</v>
      </c>
      <c r="C15" s="233" t="s">
        <v>162</v>
      </c>
      <c r="D15" s="234" t="s">
        <v>716</v>
      </c>
      <c r="E15" s="235" t="s">
        <v>425</v>
      </c>
      <c r="F15" s="236">
        <v>0</v>
      </c>
      <c r="G15" s="237" t="s">
        <v>717</v>
      </c>
    </row>
    <row r="16" spans="1:7" ht="30" customHeight="1" x14ac:dyDescent="0.2">
      <c r="A16" s="231">
        <v>14</v>
      </c>
      <c r="B16" s="232" t="s">
        <v>718</v>
      </c>
      <c r="C16" s="233" t="s">
        <v>162</v>
      </c>
      <c r="D16" s="234" t="s">
        <v>719</v>
      </c>
      <c r="E16" s="235" t="s">
        <v>425</v>
      </c>
      <c r="F16" s="236">
        <v>0</v>
      </c>
      <c r="G16" s="237" t="s">
        <v>720</v>
      </c>
    </row>
    <row r="17" spans="1:7" ht="25.5" customHeight="1" x14ac:dyDescent="0.2">
      <c r="A17" s="238" t="s">
        <v>721</v>
      </c>
      <c r="B17" s="239"/>
      <c r="C17" s="239"/>
      <c r="D17" s="239"/>
      <c r="E17" s="239"/>
      <c r="F17" s="240">
        <f>SUM(F3:F16)</f>
        <v>5173.08</v>
      </c>
      <c r="G17" s="239"/>
    </row>
    <row r="19" spans="1:7" ht="16.5" customHeight="1" x14ac:dyDescent="0.2">
      <c r="B19" s="241" t="s">
        <v>722</v>
      </c>
    </row>
    <row r="20" spans="1:7" ht="23.25" customHeight="1" x14ac:dyDescent="0.2">
      <c r="B20" s="89" t="s">
        <v>723</v>
      </c>
    </row>
    <row r="21" spans="1:7" ht="15" customHeight="1" x14ac:dyDescent="0.2">
      <c r="B21" s="89" t="s">
        <v>724</v>
      </c>
    </row>
    <row r="22" spans="1:7" ht="15" hidden="1" customHeight="1" x14ac:dyDescent="0.2">
      <c r="B22" s="89" t="s">
        <v>725</v>
      </c>
    </row>
    <row r="24" spans="1:7" ht="15.75" hidden="1" customHeight="1" x14ac:dyDescent="0.2">
      <c r="B24" s="242" t="s">
        <v>726</v>
      </c>
    </row>
    <row r="25" spans="1:7" ht="15" hidden="1" customHeight="1" x14ac:dyDescent="0.2">
      <c r="B25" s="87" t="s">
        <v>727</v>
      </c>
    </row>
    <row r="26" spans="1:7" ht="15" hidden="1" customHeight="1" x14ac:dyDescent="0.2">
      <c r="B26" s="87" t="s">
        <v>728</v>
      </c>
    </row>
    <row r="27" spans="1:7" ht="15" hidden="1" customHeight="1" x14ac:dyDescent="0.2">
      <c r="B27" s="87" t="s">
        <v>729</v>
      </c>
    </row>
    <row r="28" spans="1:7" ht="15" hidden="1" customHeight="1" x14ac:dyDescent="0.2">
      <c r="B28" s="87" t="s">
        <v>730</v>
      </c>
    </row>
    <row r="29" spans="1:7" ht="31.5" customHeight="1" x14ac:dyDescent="0.2">
      <c r="B29" s="243" t="s">
        <v>731</v>
      </c>
    </row>
    <row r="30" spans="1:7" ht="31.5" customHeight="1" x14ac:dyDescent="0.2">
      <c r="B30" s="243" t="s">
        <v>732</v>
      </c>
    </row>
    <row r="31" spans="1:7" ht="15" customHeight="1" x14ac:dyDescent="0.2">
      <c r="B31" s="244" t="s">
        <v>733</v>
      </c>
    </row>
    <row r="33" spans="2:4" ht="15" customHeight="1" x14ac:dyDescent="0.2">
      <c r="B33" s="245" t="s">
        <v>734</v>
      </c>
    </row>
    <row r="34" spans="2:4" ht="15" customHeight="1" x14ac:dyDescent="0.2">
      <c r="B34" t="s">
        <v>735</v>
      </c>
      <c r="D34" t="s">
        <v>736</v>
      </c>
    </row>
    <row r="35" spans="2:4" ht="15" customHeight="1" x14ac:dyDescent="0.2">
      <c r="B35" t="s">
        <v>737</v>
      </c>
    </row>
    <row r="36" spans="2:4" ht="15" customHeight="1" x14ac:dyDescent="0.2">
      <c r="B36" t="s">
        <v>738</v>
      </c>
    </row>
    <row r="37" spans="2:4" ht="15" customHeight="1" x14ac:dyDescent="0.2">
      <c r="B37" t="s">
        <v>739</v>
      </c>
    </row>
    <row r="38" spans="2:4" ht="15" customHeight="1" x14ac:dyDescent="0.2">
      <c r="B38" t="s">
        <v>740</v>
      </c>
    </row>
    <row r="39" spans="2:4" ht="15" customHeight="1" x14ac:dyDescent="0.2">
      <c r="B39" t="s">
        <v>741</v>
      </c>
    </row>
    <row r="40" spans="2:4" ht="15" customHeight="1" x14ac:dyDescent="0.2">
      <c r="B40" t="s">
        <v>742</v>
      </c>
    </row>
    <row r="41" spans="2:4" ht="15" customHeight="1" x14ac:dyDescent="0.2">
      <c r="B41" t="s">
        <v>743</v>
      </c>
    </row>
    <row r="50" spans="5:5" x14ac:dyDescent="0.2">
      <c r="E50" t="s">
        <v>744</v>
      </c>
    </row>
  </sheetData>
  <autoFilter ref="A2:G16" xr:uid="{00000000-0009-0000-0000-00000C000000}"/>
  <hyperlinks>
    <hyperlink ref="B29" r:id="rId1" xr:uid="{00000000-0004-0000-0C00-000000000000}"/>
    <hyperlink ref="B30" r:id="rId2" location="std-label-amazon-aws" xr:uid="{00000000-0004-0000-0C00-000001000000}"/>
    <hyperlink ref="B31" r:id="rId3" xr:uid="{00000000-0004-0000-0C00-000002000000}"/>
  </hyperlinks>
  <pageMargins left="0.75" right="0.75" top="1" bottom="1" header="0.511811023622047" footer="0.511811023622047"/>
  <pageSetup paperSize="9" orientation="portrait" horizontalDpi="300" verticalDpi="30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3"/>
  <sheetViews>
    <sheetView showGridLines="0" zoomScale="120" zoomScaleNormal="120" workbookViewId="0">
      <selection activeCell="A14" sqref="A14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21.1640625" customWidth="1"/>
    <col min="4" max="6" width="8" customWidth="1"/>
    <col min="7" max="7" width="14" hidden="1" customWidth="1"/>
    <col min="8" max="9" width="14" customWidth="1"/>
    <col min="10" max="10" width="40" customWidth="1"/>
  </cols>
  <sheetData>
    <row r="1" spans="1:10" ht="27.75" customHeight="1" x14ac:dyDescent="0.2">
      <c r="A1" s="246" t="s">
        <v>745</v>
      </c>
      <c r="B1" s="247"/>
      <c r="C1" s="247"/>
      <c r="D1" s="247"/>
      <c r="E1" s="247"/>
      <c r="F1" s="247"/>
      <c r="G1" s="247"/>
      <c r="H1" s="247"/>
      <c r="I1" s="247"/>
      <c r="J1" s="247"/>
    </row>
    <row r="2" spans="1:10" ht="15" customHeight="1" x14ac:dyDescent="0.2">
      <c r="A2" s="369" t="s">
        <v>746</v>
      </c>
      <c r="B2" s="369"/>
      <c r="C2" s="369"/>
      <c r="D2" s="369"/>
      <c r="E2" s="369"/>
      <c r="F2" s="369"/>
      <c r="G2" s="369"/>
      <c r="H2" s="369"/>
      <c r="I2" s="369"/>
      <c r="J2" s="369"/>
    </row>
    <row r="4" spans="1:10" ht="31.5" customHeight="1" x14ac:dyDescent="0.2">
      <c r="A4" s="248" t="s">
        <v>747</v>
      </c>
      <c r="B4" s="248" t="s">
        <v>748</v>
      </c>
      <c r="C4" s="248" t="s">
        <v>749</v>
      </c>
      <c r="D4" s="248" t="s">
        <v>750</v>
      </c>
      <c r="E4" s="248" t="s">
        <v>479</v>
      </c>
      <c r="F4" s="248" t="s">
        <v>480</v>
      </c>
      <c r="G4" s="248" t="s">
        <v>751</v>
      </c>
      <c r="H4" s="248" t="s">
        <v>752</v>
      </c>
      <c r="I4" s="248" t="s">
        <v>487</v>
      </c>
      <c r="J4" s="248" t="s">
        <v>80</v>
      </c>
    </row>
    <row r="5" spans="1:10" ht="27.75" customHeight="1" x14ac:dyDescent="0.2">
      <c r="A5" s="249">
        <v>1</v>
      </c>
      <c r="B5" s="250" t="s">
        <v>753</v>
      </c>
      <c r="C5" s="251" t="s">
        <v>754</v>
      </c>
      <c r="D5" s="249">
        <v>1</v>
      </c>
      <c r="E5" s="252" t="s">
        <v>509</v>
      </c>
      <c r="F5" s="252" t="s">
        <v>509</v>
      </c>
      <c r="G5" s="253">
        <v>73</v>
      </c>
      <c r="H5" s="253">
        <v>73</v>
      </c>
      <c r="I5" s="254">
        <f>H5*D5</f>
        <v>73</v>
      </c>
      <c r="J5" s="255" t="s">
        <v>755</v>
      </c>
    </row>
    <row r="6" spans="1:10" ht="27.75" customHeight="1" x14ac:dyDescent="0.2">
      <c r="A6" s="249">
        <v>2</v>
      </c>
      <c r="B6" s="250" t="s">
        <v>756</v>
      </c>
      <c r="C6" s="251" t="s">
        <v>757</v>
      </c>
      <c r="D6" s="249">
        <v>18</v>
      </c>
      <c r="E6" s="252">
        <v>4</v>
      </c>
      <c r="F6" s="252">
        <v>32</v>
      </c>
      <c r="G6" s="253">
        <v>134.32</v>
      </c>
      <c r="H6" s="253">
        <v>58.18</v>
      </c>
      <c r="I6" s="254">
        <f>H6*D6</f>
        <v>1047.24</v>
      </c>
      <c r="J6" s="255" t="s">
        <v>758</v>
      </c>
    </row>
    <row r="7" spans="1:10" ht="27.75" customHeight="1" x14ac:dyDescent="0.2">
      <c r="A7" s="249">
        <v>3</v>
      </c>
      <c r="B7" s="250" t="s">
        <v>759</v>
      </c>
      <c r="C7" s="251" t="s">
        <v>760</v>
      </c>
      <c r="D7" s="249">
        <v>6</v>
      </c>
      <c r="E7" s="252">
        <v>8</v>
      </c>
      <c r="F7" s="252">
        <v>64</v>
      </c>
      <c r="G7" s="253">
        <v>268.64</v>
      </c>
      <c r="H7" s="253">
        <v>116.35</v>
      </c>
      <c r="I7" s="254">
        <f>H7*D7</f>
        <v>698.09999999999991</v>
      </c>
      <c r="J7" s="255" t="s">
        <v>761</v>
      </c>
    </row>
    <row r="8" spans="1:10" ht="27.75" customHeight="1" x14ac:dyDescent="0.2">
      <c r="A8" s="249">
        <v>4</v>
      </c>
      <c r="B8" s="250" t="s">
        <v>762</v>
      </c>
      <c r="C8" s="251" t="s">
        <v>763</v>
      </c>
      <c r="D8" s="249">
        <v>1</v>
      </c>
      <c r="E8" s="252" t="s">
        <v>509</v>
      </c>
      <c r="F8" s="252" t="s">
        <v>509</v>
      </c>
      <c r="G8" s="253" t="s">
        <v>509</v>
      </c>
      <c r="H8" s="253">
        <v>438.26</v>
      </c>
      <c r="I8" s="254">
        <f>H8*D8</f>
        <v>438.26</v>
      </c>
      <c r="J8" s="255" t="s">
        <v>764</v>
      </c>
    </row>
    <row r="9" spans="1:10" ht="27.75" customHeight="1" x14ac:dyDescent="0.2">
      <c r="A9" s="249">
        <v>5</v>
      </c>
      <c r="B9" s="250" t="s">
        <v>765</v>
      </c>
      <c r="C9" s="251" t="s">
        <v>206</v>
      </c>
      <c r="D9" s="249">
        <v>1</v>
      </c>
      <c r="E9" s="252">
        <v>2</v>
      </c>
      <c r="F9" s="252">
        <v>4</v>
      </c>
      <c r="G9" s="253">
        <v>33.869999999999997</v>
      </c>
      <c r="H9" s="253">
        <v>17.66</v>
      </c>
      <c r="I9" s="254">
        <f>H9*D9</f>
        <v>17.66</v>
      </c>
      <c r="J9" s="255" t="s">
        <v>766</v>
      </c>
    </row>
    <row r="11" spans="1:10" ht="15" customHeight="1" x14ac:dyDescent="0.2">
      <c r="A11" s="370" t="s">
        <v>767</v>
      </c>
      <c r="B11" s="370"/>
      <c r="C11" s="370"/>
      <c r="D11" s="370"/>
      <c r="E11" s="370"/>
      <c r="F11" s="370"/>
      <c r="G11" s="370"/>
      <c r="H11" s="370"/>
      <c r="I11" s="370"/>
      <c r="J11" s="370"/>
    </row>
    <row r="12" spans="1:10" x14ac:dyDescent="0.2">
      <c r="A12" s="248" t="s">
        <v>747</v>
      </c>
      <c r="B12" s="248" t="s">
        <v>587</v>
      </c>
      <c r="C12" s="248" t="s">
        <v>768</v>
      </c>
      <c r="D12" s="248"/>
      <c r="E12" s="248"/>
      <c r="F12" s="248"/>
      <c r="G12" s="248"/>
      <c r="H12" s="248"/>
      <c r="I12" s="248" t="s">
        <v>769</v>
      </c>
      <c r="J12" s="248" t="s">
        <v>80</v>
      </c>
    </row>
    <row r="13" spans="1:10" ht="25.5" customHeight="1" x14ac:dyDescent="0.2">
      <c r="A13" s="256">
        <v>6</v>
      </c>
      <c r="B13" s="22" t="s">
        <v>770</v>
      </c>
      <c r="C13" s="25" t="s">
        <v>771</v>
      </c>
      <c r="I13" s="257">
        <v>256</v>
      </c>
      <c r="J13" s="25" t="s">
        <v>772</v>
      </c>
    </row>
    <row r="14" spans="1:10" ht="25.5" customHeight="1" x14ac:dyDescent="0.2">
      <c r="A14" s="258">
        <v>7</v>
      </c>
      <c r="B14" s="18" t="s">
        <v>773</v>
      </c>
      <c r="C14" s="21" t="s">
        <v>774</v>
      </c>
      <c r="I14" s="259">
        <v>1800</v>
      </c>
      <c r="J14" s="260" t="s">
        <v>775</v>
      </c>
    </row>
    <row r="15" spans="1:10" ht="25.5" customHeight="1" x14ac:dyDescent="0.2">
      <c r="A15" s="256">
        <v>8</v>
      </c>
      <c r="B15" s="22" t="s">
        <v>355</v>
      </c>
      <c r="C15" s="25" t="s">
        <v>776</v>
      </c>
      <c r="I15" s="257">
        <v>12</v>
      </c>
      <c r="J15" s="25" t="s">
        <v>777</v>
      </c>
    </row>
    <row r="16" spans="1:10" ht="25.5" customHeight="1" x14ac:dyDescent="0.2">
      <c r="A16" s="258">
        <v>9</v>
      </c>
      <c r="B16" s="18" t="s">
        <v>778</v>
      </c>
      <c r="C16" s="21" t="s">
        <v>779</v>
      </c>
      <c r="I16" s="259">
        <v>25</v>
      </c>
      <c r="J16" s="21" t="s">
        <v>780</v>
      </c>
    </row>
    <row r="17" spans="1:10" ht="25.5" customHeight="1" x14ac:dyDescent="0.2">
      <c r="A17" s="256">
        <v>10</v>
      </c>
      <c r="B17" s="22" t="s">
        <v>376</v>
      </c>
      <c r="C17" s="25" t="s">
        <v>781</v>
      </c>
      <c r="I17" s="257">
        <v>6</v>
      </c>
      <c r="J17" s="25" t="s">
        <v>777</v>
      </c>
    </row>
    <row r="18" spans="1:10" ht="25.5" customHeight="1" x14ac:dyDescent="0.2">
      <c r="A18" s="261">
        <v>11</v>
      </c>
      <c r="B18" s="262" t="s">
        <v>782</v>
      </c>
      <c r="C18" s="263" t="s">
        <v>783</v>
      </c>
      <c r="I18" s="264">
        <v>0</v>
      </c>
      <c r="J18" s="263" t="s">
        <v>784</v>
      </c>
    </row>
    <row r="19" spans="1:10" ht="25.5" customHeight="1" x14ac:dyDescent="0.2">
      <c r="A19" s="261">
        <v>12</v>
      </c>
      <c r="B19" s="262" t="s">
        <v>601</v>
      </c>
      <c r="C19" s="263" t="s">
        <v>785</v>
      </c>
      <c r="I19" s="264">
        <v>0</v>
      </c>
      <c r="J19" s="263" t="s">
        <v>786</v>
      </c>
    </row>
    <row r="20" spans="1:10" ht="25.5" customHeight="1" x14ac:dyDescent="0.2">
      <c r="A20" s="258">
        <v>13</v>
      </c>
      <c r="B20" s="18" t="s">
        <v>787</v>
      </c>
      <c r="C20" s="21" t="s">
        <v>788</v>
      </c>
      <c r="I20" s="259">
        <v>15</v>
      </c>
      <c r="J20" s="21" t="s">
        <v>789</v>
      </c>
    </row>
    <row r="21" spans="1:10" ht="25.5" customHeight="1" x14ac:dyDescent="0.2">
      <c r="A21" s="261">
        <v>14</v>
      </c>
      <c r="B21" s="262" t="s">
        <v>790</v>
      </c>
      <c r="C21" s="263" t="s">
        <v>791</v>
      </c>
      <c r="I21" s="264">
        <v>0</v>
      </c>
      <c r="J21" s="265" t="s">
        <v>792</v>
      </c>
    </row>
    <row r="23" spans="1:10" ht="24" customHeight="1" x14ac:dyDescent="0.2">
      <c r="A23" s="266"/>
      <c r="B23" s="267" t="s">
        <v>793</v>
      </c>
      <c r="C23" s="266"/>
      <c r="D23" s="266"/>
      <c r="E23" s="266"/>
      <c r="F23" s="266"/>
      <c r="G23" s="266"/>
      <c r="H23" s="266"/>
      <c r="I23" s="268">
        <v>2670.17</v>
      </c>
      <c r="J23" s="266"/>
    </row>
    <row r="24" spans="1:10" x14ac:dyDescent="0.2">
      <c r="A24" s="266"/>
      <c r="B24" s="267" t="s">
        <v>794</v>
      </c>
      <c r="C24" s="266"/>
      <c r="D24" s="266"/>
      <c r="E24" s="266"/>
      <c r="F24" s="266"/>
      <c r="G24" s="266"/>
      <c r="H24" s="266"/>
      <c r="I24" s="268">
        <v>2098</v>
      </c>
      <c r="J24" s="266"/>
    </row>
    <row r="25" spans="1:10" ht="30" customHeight="1" x14ac:dyDescent="0.2">
      <c r="A25" s="159"/>
      <c r="B25" s="269" t="s">
        <v>795</v>
      </c>
      <c r="C25" s="159"/>
      <c r="D25" s="159"/>
      <c r="E25" s="159"/>
      <c r="F25" s="159"/>
      <c r="G25" s="159"/>
      <c r="H25" s="159"/>
      <c r="I25" s="270">
        <v>4768.17</v>
      </c>
      <c r="J25" s="159"/>
    </row>
    <row r="27" spans="1:10" ht="19.5" customHeight="1" x14ac:dyDescent="0.2">
      <c r="B27" s="36" t="s">
        <v>796</v>
      </c>
    </row>
    <row r="28" spans="1:10" ht="42" customHeight="1" x14ac:dyDescent="0.2">
      <c r="B28" s="271" t="s">
        <v>797</v>
      </c>
    </row>
    <row r="29" spans="1:10" ht="55.5" customHeight="1" x14ac:dyDescent="0.2">
      <c r="B29" s="271" t="s">
        <v>798</v>
      </c>
    </row>
    <row r="30" spans="1:10" ht="27.75" customHeight="1" x14ac:dyDescent="0.2">
      <c r="B30" s="271" t="s">
        <v>799</v>
      </c>
    </row>
    <row r="31" spans="1:10" ht="42" customHeight="1" x14ac:dyDescent="0.2">
      <c r="B31" s="272" t="s">
        <v>800</v>
      </c>
    </row>
    <row r="32" spans="1:10" ht="42" customHeight="1" x14ac:dyDescent="0.2">
      <c r="B32" s="273" t="s">
        <v>801</v>
      </c>
    </row>
    <row r="33" spans="2:2" ht="42" customHeight="1" x14ac:dyDescent="0.2">
      <c r="B33" s="37" t="s">
        <v>802</v>
      </c>
    </row>
  </sheetData>
  <mergeCells count="2">
    <mergeCell ref="A2:J2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8"/>
  <sheetViews>
    <sheetView showGridLines="0" zoomScale="120" zoomScaleNormal="120" workbookViewId="0">
      <selection activeCell="O12" sqref="O12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24.33203125" customWidth="1"/>
    <col min="4" max="6" width="8" customWidth="1"/>
    <col min="7" max="7" width="14" hidden="1" customWidth="1"/>
    <col min="8" max="9" width="14" customWidth="1"/>
    <col min="10" max="10" width="40" customWidth="1"/>
  </cols>
  <sheetData>
    <row r="1" spans="1:10" ht="27.75" customHeight="1" x14ac:dyDescent="0.2">
      <c r="A1" s="274" t="s">
        <v>803</v>
      </c>
      <c r="B1" s="275"/>
      <c r="C1" s="275"/>
      <c r="D1" s="275"/>
      <c r="E1" s="275"/>
      <c r="F1" s="275"/>
      <c r="G1" s="275"/>
      <c r="H1" s="275"/>
      <c r="I1" s="275"/>
      <c r="J1" s="275"/>
    </row>
    <row r="2" spans="1:10" ht="15" customHeight="1" x14ac:dyDescent="0.2">
      <c r="A2" s="371" t="s">
        <v>804</v>
      </c>
      <c r="B2" s="371"/>
      <c r="C2" s="371"/>
      <c r="D2" s="371"/>
      <c r="E2" s="371"/>
      <c r="F2" s="371"/>
      <c r="G2" s="371"/>
      <c r="H2" s="371"/>
      <c r="I2" s="371"/>
      <c r="J2" s="371"/>
    </row>
    <row r="4" spans="1:10" ht="31.5" customHeight="1" x14ac:dyDescent="0.2">
      <c r="A4" s="276" t="s">
        <v>747</v>
      </c>
      <c r="B4" s="276" t="s">
        <v>748</v>
      </c>
      <c r="C4" s="276" t="s">
        <v>805</v>
      </c>
      <c r="D4" s="276" t="s">
        <v>750</v>
      </c>
      <c r="E4" s="276" t="s">
        <v>479</v>
      </c>
      <c r="F4" s="276" t="s">
        <v>480</v>
      </c>
      <c r="G4" s="276" t="s">
        <v>751</v>
      </c>
      <c r="H4" s="276" t="s">
        <v>752</v>
      </c>
      <c r="I4" s="276" t="s">
        <v>487</v>
      </c>
      <c r="J4" s="276" t="s">
        <v>80</v>
      </c>
    </row>
    <row r="5" spans="1:10" ht="27.75" customHeight="1" x14ac:dyDescent="0.2">
      <c r="A5" s="277">
        <v>1</v>
      </c>
      <c r="B5" s="278" t="s">
        <v>806</v>
      </c>
      <c r="C5" s="279" t="s">
        <v>807</v>
      </c>
      <c r="D5" s="277">
        <v>98</v>
      </c>
      <c r="E5" s="280">
        <v>2</v>
      </c>
      <c r="F5" s="280">
        <v>4</v>
      </c>
      <c r="G5" s="281">
        <v>43.51</v>
      </c>
      <c r="H5" s="281">
        <v>15.99</v>
      </c>
      <c r="I5" s="282">
        <f>H5*D5</f>
        <v>1567.02</v>
      </c>
      <c r="J5" s="283" t="s">
        <v>808</v>
      </c>
    </row>
    <row r="6" spans="1:10" ht="27.75" customHeight="1" x14ac:dyDescent="0.2">
      <c r="A6" s="277">
        <v>2</v>
      </c>
      <c r="B6" s="278" t="s">
        <v>809</v>
      </c>
      <c r="C6" s="279" t="s">
        <v>810</v>
      </c>
      <c r="D6" s="277">
        <v>24</v>
      </c>
      <c r="E6" s="280">
        <v>2</v>
      </c>
      <c r="F6" s="280">
        <v>8</v>
      </c>
      <c r="G6" s="281">
        <v>51.76</v>
      </c>
      <c r="H6" s="281">
        <v>18.760000000000002</v>
      </c>
      <c r="I6" s="282">
        <f>H6*D6</f>
        <v>450.24</v>
      </c>
      <c r="J6" s="283" t="s">
        <v>811</v>
      </c>
    </row>
    <row r="7" spans="1:10" ht="27.75" customHeight="1" x14ac:dyDescent="0.2">
      <c r="A7" s="277">
        <v>3</v>
      </c>
      <c r="B7" s="278" t="s">
        <v>812</v>
      </c>
      <c r="C7" s="279" t="s">
        <v>813</v>
      </c>
      <c r="D7" s="277">
        <v>48</v>
      </c>
      <c r="E7" s="280">
        <v>4</v>
      </c>
      <c r="F7" s="280">
        <v>8</v>
      </c>
      <c r="G7" s="281">
        <v>87.02</v>
      </c>
      <c r="H7" s="281">
        <v>31.97</v>
      </c>
      <c r="I7" s="282">
        <f>H7*D7</f>
        <v>1534.56</v>
      </c>
      <c r="J7" s="283" t="s">
        <v>814</v>
      </c>
    </row>
    <row r="8" spans="1:10" ht="27.75" customHeight="1" x14ac:dyDescent="0.2">
      <c r="A8" s="277">
        <v>4</v>
      </c>
      <c r="B8" s="278" t="s">
        <v>815</v>
      </c>
      <c r="C8" s="279" t="s">
        <v>816</v>
      </c>
      <c r="D8" s="277">
        <v>36</v>
      </c>
      <c r="E8" s="280">
        <v>4</v>
      </c>
      <c r="F8" s="280">
        <v>16</v>
      </c>
      <c r="G8" s="281">
        <v>103.51</v>
      </c>
      <c r="H8" s="281">
        <v>37.520000000000003</v>
      </c>
      <c r="I8" s="282">
        <f>H8*D8</f>
        <v>1350.72</v>
      </c>
      <c r="J8" s="283" t="s">
        <v>817</v>
      </c>
    </row>
    <row r="9" spans="1:10" ht="27.75" customHeight="1" x14ac:dyDescent="0.2">
      <c r="A9" s="277">
        <v>5</v>
      </c>
      <c r="B9" s="278" t="s">
        <v>818</v>
      </c>
      <c r="C9" s="279" t="s">
        <v>819</v>
      </c>
      <c r="D9" s="277">
        <v>8</v>
      </c>
      <c r="E9" s="280">
        <v>8</v>
      </c>
      <c r="F9" s="280">
        <v>32</v>
      </c>
      <c r="G9" s="281">
        <v>207.03</v>
      </c>
      <c r="H9" s="281">
        <v>75.040000000000006</v>
      </c>
      <c r="I9" s="282">
        <f>H9*D9</f>
        <v>600.32000000000005</v>
      </c>
      <c r="J9" s="283" t="s">
        <v>820</v>
      </c>
    </row>
    <row r="11" spans="1:10" ht="15" customHeight="1" x14ac:dyDescent="0.2">
      <c r="A11" s="372" t="s">
        <v>821</v>
      </c>
      <c r="B11" s="372"/>
      <c r="C11" s="372"/>
      <c r="D11" s="372"/>
      <c r="E11" s="372"/>
      <c r="F11" s="372"/>
      <c r="G11" s="372"/>
      <c r="H11" s="372"/>
      <c r="I11" s="372"/>
      <c r="J11" s="372"/>
    </row>
    <row r="12" spans="1:10" x14ac:dyDescent="0.2">
      <c r="A12" s="276" t="s">
        <v>747</v>
      </c>
      <c r="B12" s="276" t="s">
        <v>587</v>
      </c>
      <c r="C12" s="276" t="s">
        <v>768</v>
      </c>
      <c r="D12" s="276"/>
      <c r="E12" s="276"/>
      <c r="F12" s="276"/>
      <c r="G12" s="276"/>
      <c r="H12" s="276"/>
      <c r="I12" s="276" t="s">
        <v>769</v>
      </c>
      <c r="J12" s="276" t="s">
        <v>80</v>
      </c>
    </row>
    <row r="13" spans="1:10" ht="25.5" customHeight="1" x14ac:dyDescent="0.2">
      <c r="A13" s="256">
        <v>6</v>
      </c>
      <c r="B13" s="22" t="s">
        <v>822</v>
      </c>
      <c r="C13" s="25" t="s">
        <v>823</v>
      </c>
      <c r="I13" s="257">
        <v>5</v>
      </c>
      <c r="J13" s="25" t="s">
        <v>824</v>
      </c>
    </row>
    <row r="14" spans="1:10" ht="25.5" customHeight="1" x14ac:dyDescent="0.2">
      <c r="A14" s="258">
        <v>7</v>
      </c>
      <c r="B14" s="18" t="s">
        <v>825</v>
      </c>
      <c r="C14" s="21" t="s">
        <v>826</v>
      </c>
      <c r="I14" s="259">
        <v>50</v>
      </c>
      <c r="J14" s="21" t="s">
        <v>827</v>
      </c>
    </row>
    <row r="15" spans="1:10" ht="25.5" customHeight="1" x14ac:dyDescent="0.2">
      <c r="A15" s="256">
        <v>8</v>
      </c>
      <c r="B15" s="22" t="s">
        <v>828</v>
      </c>
      <c r="C15" s="25" t="s">
        <v>829</v>
      </c>
      <c r="I15" s="257">
        <v>35</v>
      </c>
      <c r="J15" s="25" t="s">
        <v>830</v>
      </c>
    </row>
    <row r="16" spans="1:10" ht="25.5" customHeight="1" x14ac:dyDescent="0.2">
      <c r="A16" s="258">
        <v>9</v>
      </c>
      <c r="B16" s="18" t="s">
        <v>307</v>
      </c>
      <c r="C16" s="21" t="s">
        <v>831</v>
      </c>
      <c r="I16" s="259">
        <v>150</v>
      </c>
      <c r="J16" s="21" t="s">
        <v>832</v>
      </c>
    </row>
    <row r="17" spans="1:10" ht="25.5" customHeight="1" x14ac:dyDescent="0.2">
      <c r="A17" s="256">
        <v>10</v>
      </c>
      <c r="B17" s="22" t="s">
        <v>833</v>
      </c>
      <c r="C17" s="25" t="s">
        <v>834</v>
      </c>
      <c r="I17" s="257">
        <v>275</v>
      </c>
      <c r="J17" s="25" t="s">
        <v>835</v>
      </c>
    </row>
    <row r="18" spans="1:10" ht="25.5" customHeight="1" x14ac:dyDescent="0.2">
      <c r="A18" s="258">
        <v>11</v>
      </c>
      <c r="B18" s="18" t="s">
        <v>836</v>
      </c>
      <c r="C18" s="21" t="s">
        <v>837</v>
      </c>
      <c r="I18" s="259">
        <v>20</v>
      </c>
      <c r="J18" s="21" t="s">
        <v>838</v>
      </c>
    </row>
    <row r="19" spans="1:10" ht="25.5" customHeight="1" x14ac:dyDescent="0.2">
      <c r="A19" s="256">
        <v>12</v>
      </c>
      <c r="B19" s="22" t="s">
        <v>839</v>
      </c>
      <c r="C19" s="25" t="s">
        <v>840</v>
      </c>
      <c r="I19" s="257">
        <v>10</v>
      </c>
      <c r="J19" s="25" t="s">
        <v>841</v>
      </c>
    </row>
    <row r="20" spans="1:10" ht="25.5" customHeight="1" x14ac:dyDescent="0.2">
      <c r="A20" s="258">
        <v>13</v>
      </c>
      <c r="B20" s="18" t="s">
        <v>842</v>
      </c>
      <c r="C20" s="21" t="s">
        <v>843</v>
      </c>
      <c r="I20" s="259">
        <v>5</v>
      </c>
      <c r="J20" s="21" t="s">
        <v>844</v>
      </c>
    </row>
    <row r="21" spans="1:10" ht="25.5" customHeight="1" x14ac:dyDescent="0.2">
      <c r="A21" s="256">
        <v>14</v>
      </c>
      <c r="B21" s="22" t="s">
        <v>778</v>
      </c>
      <c r="C21" s="25" t="s">
        <v>779</v>
      </c>
      <c r="I21" s="257">
        <v>25</v>
      </c>
      <c r="J21" s="284" t="s">
        <v>845</v>
      </c>
    </row>
    <row r="22" spans="1:10" ht="25.5" customHeight="1" x14ac:dyDescent="0.2">
      <c r="A22" s="258">
        <v>15</v>
      </c>
      <c r="B22" s="18" t="s">
        <v>846</v>
      </c>
      <c r="C22" s="21" t="s">
        <v>847</v>
      </c>
      <c r="I22" s="259">
        <v>55</v>
      </c>
      <c r="J22" s="21" t="s">
        <v>848</v>
      </c>
    </row>
    <row r="23" spans="1:10" ht="25.5" customHeight="1" x14ac:dyDescent="0.2">
      <c r="A23" s="256">
        <v>16</v>
      </c>
      <c r="B23" s="22" t="s">
        <v>849</v>
      </c>
      <c r="C23" s="25" t="s">
        <v>850</v>
      </c>
      <c r="I23" s="257">
        <v>175</v>
      </c>
      <c r="J23" s="284" t="s">
        <v>851</v>
      </c>
    </row>
    <row r="24" spans="1:10" ht="51.75" customHeight="1" x14ac:dyDescent="0.2">
      <c r="A24" s="261">
        <v>17</v>
      </c>
      <c r="B24" s="262" t="s">
        <v>790</v>
      </c>
      <c r="C24" s="263" t="s">
        <v>852</v>
      </c>
      <c r="I24" s="264">
        <v>0</v>
      </c>
      <c r="J24" s="265" t="s">
        <v>792</v>
      </c>
    </row>
    <row r="25" spans="1:10" ht="25.5" customHeight="1" x14ac:dyDescent="0.2">
      <c r="A25" s="256">
        <v>18</v>
      </c>
      <c r="B25" s="22" t="s">
        <v>853</v>
      </c>
      <c r="C25" s="25" t="s">
        <v>854</v>
      </c>
      <c r="I25" s="257">
        <v>15</v>
      </c>
      <c r="J25" s="25" t="s">
        <v>855</v>
      </c>
    </row>
    <row r="26" spans="1:10" ht="25.5" customHeight="1" x14ac:dyDescent="0.2">
      <c r="A26" s="258">
        <v>19</v>
      </c>
      <c r="B26" s="18" t="s">
        <v>856</v>
      </c>
      <c r="C26" s="21" t="s">
        <v>857</v>
      </c>
      <c r="I26" s="259">
        <v>30</v>
      </c>
      <c r="J26" s="21" t="s">
        <v>858</v>
      </c>
    </row>
    <row r="27" spans="1:10" x14ac:dyDescent="0.2">
      <c r="A27" s="285"/>
    </row>
    <row r="28" spans="1:10" ht="27.75" customHeight="1" x14ac:dyDescent="0.2">
      <c r="A28" s="286"/>
      <c r="B28" s="287" t="s">
        <v>859</v>
      </c>
      <c r="C28" s="286"/>
      <c r="D28" s="286"/>
      <c r="E28" s="286"/>
      <c r="F28" s="286"/>
      <c r="G28" s="286"/>
      <c r="H28" s="286"/>
      <c r="I28" s="288">
        <v>7532.62</v>
      </c>
      <c r="J28" s="286"/>
    </row>
    <row r="29" spans="1:10" x14ac:dyDescent="0.2">
      <c r="A29" s="286"/>
      <c r="B29" s="287" t="s">
        <v>794</v>
      </c>
      <c r="C29" s="286"/>
      <c r="D29" s="286"/>
      <c r="E29" s="286"/>
      <c r="F29" s="286"/>
      <c r="G29" s="286"/>
      <c r="H29" s="286"/>
      <c r="I29" s="288">
        <v>850</v>
      </c>
      <c r="J29" s="286"/>
    </row>
    <row r="30" spans="1:10" ht="30" customHeight="1" x14ac:dyDescent="0.2">
      <c r="A30" s="159"/>
      <c r="B30" s="269" t="s">
        <v>860</v>
      </c>
      <c r="C30" s="159"/>
      <c r="D30" s="159"/>
      <c r="E30" s="159"/>
      <c r="F30" s="159"/>
      <c r="G30" s="159"/>
      <c r="H30" s="159"/>
      <c r="I30" s="270">
        <v>8382.6200000000008</v>
      </c>
      <c r="J30" s="159"/>
    </row>
    <row r="32" spans="1:10" ht="19.5" customHeight="1" x14ac:dyDescent="0.2">
      <c r="B32" s="36" t="s">
        <v>796</v>
      </c>
    </row>
    <row r="33" spans="2:2" ht="42" customHeight="1" x14ac:dyDescent="0.2">
      <c r="B33" s="271" t="s">
        <v>797</v>
      </c>
    </row>
    <row r="34" spans="2:2" ht="55.5" customHeight="1" x14ac:dyDescent="0.2">
      <c r="B34" s="272" t="s">
        <v>861</v>
      </c>
    </row>
    <row r="35" spans="2:2" ht="27.75" customHeight="1" x14ac:dyDescent="0.2">
      <c r="B35" s="272" t="s">
        <v>862</v>
      </c>
    </row>
    <row r="36" spans="2:2" ht="42" customHeight="1" x14ac:dyDescent="0.2">
      <c r="B36" s="37" t="s">
        <v>863</v>
      </c>
    </row>
    <row r="37" spans="2:2" ht="42" customHeight="1" x14ac:dyDescent="0.2">
      <c r="B37" s="37" t="s">
        <v>864</v>
      </c>
    </row>
    <row r="38" spans="2:2" ht="27.75" customHeight="1" x14ac:dyDescent="0.2">
      <c r="B38" s="273" t="s">
        <v>865</v>
      </c>
    </row>
  </sheetData>
  <mergeCells count="2">
    <mergeCell ref="A2:J2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8"/>
  <sheetViews>
    <sheetView showGridLines="0" zoomScale="120" zoomScaleNormal="120" workbookViewId="0">
      <selection activeCell="C10" sqref="C10"/>
    </sheetView>
  </sheetViews>
  <sheetFormatPr baseColWidth="10" defaultColWidth="8.83203125" defaultRowHeight="15" x14ac:dyDescent="0.2"/>
  <cols>
    <col min="1" max="1" width="2" customWidth="1"/>
    <col min="2" max="2" width="63.5" customWidth="1"/>
    <col min="3" max="3" width="22.6640625" customWidth="1"/>
    <col min="4" max="4" width="30.83203125" customWidth="1"/>
    <col min="5" max="5" width="30.33203125" customWidth="1"/>
    <col min="6" max="6" width="11.1640625" customWidth="1"/>
  </cols>
  <sheetData>
    <row r="1" spans="1:6" ht="30" customHeight="1" x14ac:dyDescent="0.2">
      <c r="A1" s="162" t="s">
        <v>866</v>
      </c>
      <c r="B1" s="163"/>
      <c r="C1" s="163"/>
      <c r="D1" s="163"/>
      <c r="E1" s="163"/>
    </row>
    <row r="3" spans="1:6" ht="30" customHeight="1" x14ac:dyDescent="0.2">
      <c r="B3" s="164" t="s">
        <v>867</v>
      </c>
      <c r="C3" s="164" t="s">
        <v>868</v>
      </c>
      <c r="D3" s="164" t="s">
        <v>869</v>
      </c>
      <c r="E3" s="164" t="s">
        <v>870</v>
      </c>
    </row>
    <row r="4" spans="1:6" ht="25.5" customHeight="1" x14ac:dyDescent="0.2">
      <c r="B4" s="289" t="s">
        <v>871</v>
      </c>
      <c r="C4" s="191" t="s">
        <v>872</v>
      </c>
      <c r="D4" s="191" t="s">
        <v>873</v>
      </c>
      <c r="E4" s="191" t="s">
        <v>874</v>
      </c>
    </row>
    <row r="5" spans="1:6" ht="25.5" customHeight="1" x14ac:dyDescent="0.2">
      <c r="B5" s="290" t="s">
        <v>875</v>
      </c>
      <c r="C5" s="185" t="s">
        <v>876</v>
      </c>
      <c r="D5" s="185" t="s">
        <v>877</v>
      </c>
      <c r="E5" s="185"/>
    </row>
    <row r="6" spans="1:6" ht="25.5" customHeight="1" x14ac:dyDescent="0.2">
      <c r="B6" s="289" t="s">
        <v>878</v>
      </c>
      <c r="C6" s="191" t="s">
        <v>879</v>
      </c>
      <c r="D6" s="191" t="s">
        <v>880</v>
      </c>
      <c r="E6" s="191"/>
    </row>
    <row r="7" spans="1:6" ht="25.5" customHeight="1" x14ac:dyDescent="0.2">
      <c r="B7" s="290" t="s">
        <v>881</v>
      </c>
      <c r="C7" s="185" t="s">
        <v>882</v>
      </c>
      <c r="D7" s="185" t="s">
        <v>883</v>
      </c>
      <c r="E7" s="185" t="s">
        <v>884</v>
      </c>
    </row>
    <row r="8" spans="1:6" ht="25.5" customHeight="1" x14ac:dyDescent="0.2">
      <c r="B8" s="289" t="s">
        <v>885</v>
      </c>
      <c r="C8" s="191" t="s">
        <v>886</v>
      </c>
      <c r="D8" s="191" t="s">
        <v>887</v>
      </c>
      <c r="E8" s="191"/>
    </row>
    <row r="9" spans="1:6" ht="25.5" customHeight="1" x14ac:dyDescent="0.2">
      <c r="B9" s="290" t="s">
        <v>888</v>
      </c>
      <c r="C9" s="190">
        <f>C52</f>
        <v>10587.5</v>
      </c>
      <c r="D9" s="190">
        <f>D52</f>
        <v>13125.3</v>
      </c>
      <c r="E9" s="291">
        <f>D9-C9</f>
        <v>2537.7999999999993</v>
      </c>
      <c r="F9" s="292"/>
    </row>
    <row r="10" spans="1:6" ht="25.5" customHeight="1" x14ac:dyDescent="0.2">
      <c r="B10" s="289" t="s">
        <v>889</v>
      </c>
      <c r="C10" s="196">
        <f>C9*12</f>
        <v>127050</v>
      </c>
      <c r="D10" s="196">
        <f>D9*12</f>
        <v>157503.59999999998</v>
      </c>
      <c r="E10" s="293">
        <f>D10-C10</f>
        <v>30453.599999999977</v>
      </c>
      <c r="F10" s="292"/>
    </row>
    <row r="11" spans="1:6" ht="25.5" customHeight="1" x14ac:dyDescent="0.2">
      <c r="B11" s="290" t="s">
        <v>856</v>
      </c>
      <c r="C11" s="185" t="s">
        <v>890</v>
      </c>
      <c r="D11" s="185" t="s">
        <v>891</v>
      </c>
      <c r="E11" s="294" t="s">
        <v>892</v>
      </c>
    </row>
    <row r="12" spans="1:6" ht="25.5" customHeight="1" x14ac:dyDescent="0.2">
      <c r="B12" s="289" t="s">
        <v>893</v>
      </c>
      <c r="C12" s="191" t="s">
        <v>894</v>
      </c>
      <c r="D12" s="191" t="s">
        <v>895</v>
      </c>
      <c r="E12" s="191" t="s">
        <v>896</v>
      </c>
    </row>
    <row r="13" spans="1:6" ht="25.5" customHeight="1" x14ac:dyDescent="0.2">
      <c r="B13" s="290" t="s">
        <v>897</v>
      </c>
      <c r="C13" s="185" t="s">
        <v>898</v>
      </c>
      <c r="D13" s="185" t="s">
        <v>899</v>
      </c>
      <c r="E13" s="185"/>
    </row>
    <row r="15" spans="1:6" ht="27.75" customHeight="1" x14ac:dyDescent="0.2">
      <c r="A15" s="295"/>
      <c r="B15" s="296" t="s">
        <v>900</v>
      </c>
      <c r="C15" s="295"/>
      <c r="D15" s="295"/>
      <c r="E15" s="295"/>
    </row>
    <row r="16" spans="1:6" ht="21.75" customHeight="1" x14ac:dyDescent="0.2">
      <c r="A16" s="295"/>
      <c r="B16" s="297"/>
      <c r="C16" s="295"/>
      <c r="D16" s="295"/>
      <c r="E16" s="295"/>
    </row>
    <row r="17" spans="1:6" ht="21.75" customHeight="1" x14ac:dyDescent="0.2">
      <c r="A17" s="295"/>
      <c r="B17" s="298" t="s">
        <v>901</v>
      </c>
      <c r="C17" s="298" t="s">
        <v>902</v>
      </c>
      <c r="D17" s="298" t="s">
        <v>485</v>
      </c>
      <c r="E17" s="298" t="s">
        <v>486</v>
      </c>
      <c r="F17" s="298" t="s">
        <v>487</v>
      </c>
    </row>
    <row r="18" spans="1:6" ht="24" customHeight="1" x14ac:dyDescent="0.2">
      <c r="A18" s="295"/>
      <c r="B18" s="299" t="s">
        <v>563</v>
      </c>
      <c r="C18" s="300" t="s">
        <v>163</v>
      </c>
      <c r="D18" s="301">
        <v>208.43</v>
      </c>
      <c r="E18" s="301">
        <v>18.239999999999998</v>
      </c>
      <c r="F18" s="302">
        <f t="shared" ref="F18:F27" si="0">D18+E18</f>
        <v>226.67000000000002</v>
      </c>
    </row>
    <row r="19" spans="1:6" ht="24" customHeight="1" x14ac:dyDescent="0.2">
      <c r="A19" s="295"/>
      <c r="B19" s="299" t="s">
        <v>566</v>
      </c>
      <c r="C19" s="300" t="s">
        <v>169</v>
      </c>
      <c r="D19" s="301">
        <v>2091.71</v>
      </c>
      <c r="E19" s="301">
        <v>101.92</v>
      </c>
      <c r="F19" s="302">
        <f t="shared" si="0"/>
        <v>2193.63</v>
      </c>
    </row>
    <row r="20" spans="1:6" ht="24" customHeight="1" x14ac:dyDescent="0.2">
      <c r="A20" s="295"/>
      <c r="B20" s="299" t="s">
        <v>568</v>
      </c>
      <c r="C20" s="300" t="s">
        <v>175</v>
      </c>
      <c r="D20" s="301">
        <v>2141.6999999999998</v>
      </c>
      <c r="E20" s="301">
        <v>160.16</v>
      </c>
      <c r="F20" s="302">
        <f t="shared" si="0"/>
        <v>2301.8599999999997</v>
      </c>
    </row>
    <row r="21" spans="1:6" ht="24" customHeight="1" x14ac:dyDescent="0.2">
      <c r="A21" s="295"/>
      <c r="B21" s="299" t="s">
        <v>570</v>
      </c>
      <c r="C21" s="300" t="s">
        <v>172</v>
      </c>
      <c r="D21" s="301">
        <v>1359.01</v>
      </c>
      <c r="E21" s="301">
        <v>1960.8</v>
      </c>
      <c r="F21" s="302">
        <f t="shared" si="0"/>
        <v>3319.81</v>
      </c>
    </row>
    <row r="22" spans="1:6" ht="24" customHeight="1" x14ac:dyDescent="0.2">
      <c r="A22" s="295"/>
      <c r="B22" s="303" t="s">
        <v>572</v>
      </c>
      <c r="C22" s="304" t="s">
        <v>169</v>
      </c>
      <c r="D22" s="305">
        <v>702.43</v>
      </c>
      <c r="E22" s="305">
        <v>127.68</v>
      </c>
      <c r="F22" s="306">
        <f t="shared" si="0"/>
        <v>830.1099999999999</v>
      </c>
    </row>
    <row r="23" spans="1:6" ht="24" customHeight="1" x14ac:dyDescent="0.2">
      <c r="A23" s="295"/>
      <c r="B23" s="299" t="s">
        <v>574</v>
      </c>
      <c r="C23" s="300" t="s">
        <v>184</v>
      </c>
      <c r="D23" s="301">
        <v>429.1</v>
      </c>
      <c r="E23" s="301">
        <v>218.88</v>
      </c>
      <c r="F23" s="302">
        <f t="shared" si="0"/>
        <v>647.98</v>
      </c>
    </row>
    <row r="24" spans="1:6" ht="24" customHeight="1" x14ac:dyDescent="0.2">
      <c r="A24" s="295"/>
      <c r="B24" s="299" t="s">
        <v>576</v>
      </c>
      <c r="C24" s="300" t="s">
        <v>184</v>
      </c>
      <c r="D24" s="301">
        <v>438.65</v>
      </c>
      <c r="E24" s="301">
        <v>100.32</v>
      </c>
      <c r="F24" s="302">
        <f t="shared" si="0"/>
        <v>538.97</v>
      </c>
    </row>
    <row r="25" spans="1:6" ht="24" customHeight="1" x14ac:dyDescent="0.2">
      <c r="A25" s="295"/>
      <c r="B25" s="303" t="s">
        <v>578</v>
      </c>
      <c r="C25" s="304" t="s">
        <v>184</v>
      </c>
      <c r="D25" s="305">
        <v>465.71</v>
      </c>
      <c r="E25" s="305">
        <v>132.24</v>
      </c>
      <c r="F25" s="306">
        <f t="shared" si="0"/>
        <v>597.95000000000005</v>
      </c>
    </row>
    <row r="26" spans="1:6" ht="24" customHeight="1" x14ac:dyDescent="0.2">
      <c r="A26" s="295"/>
      <c r="B26" s="299" t="s">
        <v>580</v>
      </c>
      <c r="C26" s="300" t="s">
        <v>178</v>
      </c>
      <c r="D26" s="301">
        <v>347.42</v>
      </c>
      <c r="E26" s="301">
        <v>31.92</v>
      </c>
      <c r="F26" s="302">
        <f t="shared" si="0"/>
        <v>379.34000000000003</v>
      </c>
    </row>
    <row r="27" spans="1:6" ht="24" customHeight="1" x14ac:dyDescent="0.2">
      <c r="A27" s="295"/>
      <c r="B27" s="299" t="s">
        <v>582</v>
      </c>
      <c r="C27" s="300" t="s">
        <v>169</v>
      </c>
      <c r="D27" s="301">
        <v>176.36</v>
      </c>
      <c r="E27" s="301">
        <v>100.32</v>
      </c>
      <c r="F27" s="302">
        <f t="shared" si="0"/>
        <v>276.68</v>
      </c>
    </row>
    <row r="28" spans="1:6" ht="25.5" customHeight="1" x14ac:dyDescent="0.2">
      <c r="A28" s="295"/>
      <c r="B28" s="307" t="s">
        <v>903</v>
      </c>
      <c r="C28" s="179"/>
      <c r="D28" s="179"/>
      <c r="E28" s="179"/>
      <c r="F28" s="308">
        <f>SUM(F18:F27)</f>
        <v>11313</v>
      </c>
    </row>
    <row r="29" spans="1:6" ht="21.75" customHeight="1" x14ac:dyDescent="0.2">
      <c r="A29" s="295"/>
      <c r="B29" s="309"/>
      <c r="C29" s="295"/>
      <c r="D29" s="295"/>
      <c r="E29" s="295"/>
    </row>
    <row r="30" spans="1:6" ht="24" customHeight="1" x14ac:dyDescent="0.2">
      <c r="A30" s="295"/>
      <c r="B30" s="310" t="s">
        <v>904</v>
      </c>
      <c r="C30" s="17" t="s">
        <v>78</v>
      </c>
      <c r="D30" s="17" t="s">
        <v>79</v>
      </c>
      <c r="E30" s="17" t="s">
        <v>80</v>
      </c>
    </row>
    <row r="31" spans="1:6" ht="24" customHeight="1" x14ac:dyDescent="0.2">
      <c r="A31" s="295"/>
      <c r="B31" s="311" t="s">
        <v>587</v>
      </c>
      <c r="C31" s="311" t="s">
        <v>590</v>
      </c>
      <c r="D31" s="311" t="s">
        <v>80</v>
      </c>
      <c r="E31" s="25" t="s">
        <v>905</v>
      </c>
    </row>
    <row r="32" spans="1:6" ht="21.75" customHeight="1" x14ac:dyDescent="0.2">
      <c r="A32" s="295"/>
      <c r="B32" s="312" t="s">
        <v>906</v>
      </c>
      <c r="C32" s="313">
        <v>303.25</v>
      </c>
      <c r="D32" s="21" t="s">
        <v>907</v>
      </c>
      <c r="E32" s="21" t="s">
        <v>908</v>
      </c>
    </row>
    <row r="33" spans="1:5" ht="21.75" customHeight="1" x14ac:dyDescent="0.2">
      <c r="A33" s="295"/>
      <c r="B33" s="314" t="s">
        <v>909</v>
      </c>
      <c r="C33" s="315">
        <v>176.13</v>
      </c>
      <c r="D33" s="25" t="s">
        <v>910</v>
      </c>
      <c r="E33" s="284" t="s">
        <v>911</v>
      </c>
    </row>
    <row r="34" spans="1:5" ht="21.75" customHeight="1" x14ac:dyDescent="0.2">
      <c r="B34" s="312" t="s">
        <v>912</v>
      </c>
      <c r="C34" s="313">
        <v>329.83</v>
      </c>
      <c r="D34" s="21" t="s">
        <v>913</v>
      </c>
    </row>
    <row r="35" spans="1:5" ht="21.75" customHeight="1" x14ac:dyDescent="0.2">
      <c r="B35" s="314" t="s">
        <v>914</v>
      </c>
      <c r="C35" s="315">
        <v>36.24</v>
      </c>
      <c r="D35" s="25" t="s">
        <v>915</v>
      </c>
    </row>
    <row r="36" spans="1:5" ht="21.75" customHeight="1" x14ac:dyDescent="0.2">
      <c r="B36" s="312" t="s">
        <v>916</v>
      </c>
      <c r="C36" s="313">
        <v>244.6</v>
      </c>
      <c r="D36" s="21" t="s">
        <v>917</v>
      </c>
    </row>
    <row r="37" spans="1:5" ht="21.75" customHeight="1" x14ac:dyDescent="0.2">
      <c r="B37" s="314" t="s">
        <v>918</v>
      </c>
      <c r="C37" s="315">
        <v>18.5</v>
      </c>
      <c r="D37" s="25" t="s">
        <v>919</v>
      </c>
    </row>
    <row r="38" spans="1:5" ht="21.75" customHeight="1" x14ac:dyDescent="0.2">
      <c r="B38" s="312" t="s">
        <v>920</v>
      </c>
      <c r="C38" s="313">
        <v>85.01</v>
      </c>
      <c r="D38" s="21" t="s">
        <v>921</v>
      </c>
    </row>
    <row r="39" spans="1:5" ht="21.75" customHeight="1" x14ac:dyDescent="0.2">
      <c r="B39" s="314" t="s">
        <v>922</v>
      </c>
      <c r="C39" s="315">
        <v>0.2</v>
      </c>
      <c r="D39" s="25" t="s">
        <v>923</v>
      </c>
    </row>
    <row r="40" spans="1:5" ht="21.75" customHeight="1" x14ac:dyDescent="0.2">
      <c r="B40" s="312" t="s">
        <v>924</v>
      </c>
      <c r="C40" s="313">
        <v>12.2</v>
      </c>
      <c r="D40" s="21" t="s">
        <v>925</v>
      </c>
    </row>
    <row r="41" spans="1:5" ht="21.75" customHeight="1" x14ac:dyDescent="0.2">
      <c r="B41" s="314" t="s">
        <v>926</v>
      </c>
      <c r="C41" s="315">
        <v>84.28</v>
      </c>
      <c r="D41" s="25" t="s">
        <v>927</v>
      </c>
    </row>
    <row r="42" spans="1:5" ht="21.75" customHeight="1" x14ac:dyDescent="0.2">
      <c r="B42" s="312" t="s">
        <v>928</v>
      </c>
      <c r="C42" s="313">
        <v>391.78</v>
      </c>
      <c r="D42" s="21" t="s">
        <v>929</v>
      </c>
    </row>
    <row r="43" spans="1:5" ht="21.75" customHeight="1" x14ac:dyDescent="0.2">
      <c r="B43" s="314" t="s">
        <v>930</v>
      </c>
      <c r="C43" s="315">
        <v>74.239999999999995</v>
      </c>
      <c r="D43" s="25" t="s">
        <v>931</v>
      </c>
    </row>
    <row r="44" spans="1:5" ht="21.75" customHeight="1" x14ac:dyDescent="0.2">
      <c r="B44" s="312" t="s">
        <v>932</v>
      </c>
      <c r="C44" s="313">
        <v>52.74</v>
      </c>
      <c r="D44" s="21" t="s">
        <v>933</v>
      </c>
    </row>
    <row r="45" spans="1:5" ht="21.75" customHeight="1" x14ac:dyDescent="0.2">
      <c r="B45" s="314" t="s">
        <v>934</v>
      </c>
      <c r="C45" s="315">
        <v>3.3</v>
      </c>
      <c r="D45" s="25" t="s">
        <v>935</v>
      </c>
    </row>
    <row r="46" spans="1:5" ht="25.5" customHeight="1" x14ac:dyDescent="0.2">
      <c r="B46" s="316" t="s">
        <v>936</v>
      </c>
      <c r="C46" s="317">
        <f>SUM(C32:C45)</f>
        <v>1812.3</v>
      </c>
      <c r="D46" s="211"/>
    </row>
    <row r="48" spans="1:5" ht="51" customHeight="1" x14ac:dyDescent="0.2">
      <c r="B48" s="33" t="s">
        <v>937</v>
      </c>
    </row>
    <row r="49" spans="2:5" ht="15" customHeight="1" x14ac:dyDescent="0.2">
      <c r="B49" s="17" t="s">
        <v>748</v>
      </c>
      <c r="C49" s="17" t="s">
        <v>564</v>
      </c>
      <c r="D49" s="17" t="s">
        <v>938</v>
      </c>
      <c r="E49" s="17" t="s">
        <v>870</v>
      </c>
    </row>
    <row r="50" spans="2:5" ht="25.5" customHeight="1" x14ac:dyDescent="0.2">
      <c r="B50" s="318" t="s">
        <v>939</v>
      </c>
      <c r="C50" s="313">
        <f>'DR TCO - Mumbai'!O14</f>
        <v>8281.2900000000009</v>
      </c>
      <c r="D50" s="313">
        <f>F28</f>
        <v>11313</v>
      </c>
      <c r="E50" s="319">
        <f>D50-C50</f>
        <v>3031.7099999999991</v>
      </c>
    </row>
    <row r="51" spans="2:5" ht="25.5" customHeight="1" x14ac:dyDescent="0.2">
      <c r="B51" s="320" t="s">
        <v>940</v>
      </c>
      <c r="C51" s="315">
        <f>SUMPRODUCT((SuppServices4ExistingHIS!F3:F28)*(SuppServices4ExistingHIS!C3:C28="Mumbai"))+SUMPRODUCT((SuppServices4ExistingHIS!F3:F28)*(SuppServices4ExistingHIS!C3:C28="HYD↔Mumbai"))</f>
        <v>2306.21</v>
      </c>
      <c r="D51" s="315">
        <f>C46</f>
        <v>1812.3</v>
      </c>
      <c r="E51" s="321">
        <f>D51-C51</f>
        <v>-493.91000000000008</v>
      </c>
    </row>
    <row r="52" spans="2:5" ht="25.5" customHeight="1" x14ac:dyDescent="0.2">
      <c r="B52" s="322" t="s">
        <v>941</v>
      </c>
      <c r="C52" s="323">
        <f>C50+C51</f>
        <v>10587.5</v>
      </c>
      <c r="D52" s="323">
        <f>D50+D51</f>
        <v>13125.3</v>
      </c>
      <c r="E52" s="323">
        <f>D52-C52</f>
        <v>2537.7999999999993</v>
      </c>
    </row>
    <row r="54" spans="2:5" ht="16.5" customHeight="1" x14ac:dyDescent="0.2">
      <c r="B54" s="324" t="s">
        <v>942</v>
      </c>
    </row>
    <row r="55" spans="2:5" ht="27.75" customHeight="1" x14ac:dyDescent="0.2">
      <c r="B55" s="272" t="s">
        <v>943</v>
      </c>
    </row>
    <row r="56" spans="2:5" ht="27.75" customHeight="1" x14ac:dyDescent="0.2">
      <c r="B56" s="271" t="s">
        <v>944</v>
      </c>
    </row>
    <row r="57" spans="2:5" ht="27.75" hidden="1" customHeight="1" x14ac:dyDescent="0.2">
      <c r="B57" s="273" t="s">
        <v>945</v>
      </c>
    </row>
    <row r="58" spans="2:5" ht="15" customHeight="1" x14ac:dyDescent="0.2">
      <c r="B58" s="1" t="s">
        <v>946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5"/>
  <sheetViews>
    <sheetView showGridLines="0" zoomScale="120" zoomScaleNormal="120" workbookViewId="0">
      <pane ySplit="2" topLeftCell="A25" activePane="bottomLeft" state="frozen"/>
      <selection pane="bottomLeft" activeCell="C11" sqref="C11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3" width="28" customWidth="1"/>
    <col min="4" max="4" width="22" customWidth="1"/>
    <col min="5" max="5" width="10" customWidth="1"/>
    <col min="6" max="6" width="14" customWidth="1"/>
    <col min="7" max="7" width="12" customWidth="1"/>
    <col min="8" max="8" width="22.83203125" customWidth="1"/>
    <col min="9" max="9" width="35" customWidth="1"/>
  </cols>
  <sheetData>
    <row r="1" spans="1:8" ht="30" customHeight="1" x14ac:dyDescent="0.2">
      <c r="A1" s="325" t="s">
        <v>947</v>
      </c>
      <c r="B1" s="326"/>
      <c r="C1" s="326"/>
      <c r="D1" s="326"/>
      <c r="E1" s="326"/>
      <c r="F1" s="326"/>
      <c r="G1" s="326"/>
      <c r="H1" s="326"/>
    </row>
    <row r="2" spans="1:8" ht="36" customHeight="1" x14ac:dyDescent="0.2">
      <c r="A2" s="67" t="s">
        <v>152</v>
      </c>
      <c r="B2" s="67" t="s">
        <v>587</v>
      </c>
      <c r="C2" s="67" t="s">
        <v>948</v>
      </c>
      <c r="D2" s="67" t="s">
        <v>749</v>
      </c>
      <c r="E2" s="67" t="s">
        <v>477</v>
      </c>
      <c r="F2" s="67" t="s">
        <v>155</v>
      </c>
      <c r="G2" s="67" t="s">
        <v>769</v>
      </c>
      <c r="H2" s="67" t="s">
        <v>80</v>
      </c>
    </row>
    <row r="3" spans="1:8" ht="51.75" customHeight="1" x14ac:dyDescent="0.2">
      <c r="A3" s="185">
        <v>1</v>
      </c>
      <c r="B3" s="327" t="s">
        <v>255</v>
      </c>
      <c r="C3" s="186" t="s">
        <v>949</v>
      </c>
      <c r="D3" s="188" t="s">
        <v>178</v>
      </c>
      <c r="E3" s="185" t="s">
        <v>950</v>
      </c>
      <c r="F3" s="328" t="s">
        <v>162</v>
      </c>
      <c r="G3" s="329">
        <v>104.32</v>
      </c>
      <c r="H3" s="25" t="s">
        <v>951</v>
      </c>
    </row>
    <row r="4" spans="1:8" ht="51.75" customHeight="1" x14ac:dyDescent="0.2">
      <c r="A4" s="191">
        <v>2</v>
      </c>
      <c r="B4" s="330" t="s">
        <v>255</v>
      </c>
      <c r="C4" s="192" t="s">
        <v>952</v>
      </c>
      <c r="D4" s="194" t="s">
        <v>178</v>
      </c>
      <c r="E4" s="191" t="s">
        <v>950</v>
      </c>
      <c r="F4" s="331" t="s">
        <v>162</v>
      </c>
      <c r="G4" s="332">
        <v>99.76</v>
      </c>
      <c r="H4" s="21" t="s">
        <v>953</v>
      </c>
    </row>
    <row r="5" spans="1:8" ht="51.75" customHeight="1" x14ac:dyDescent="0.2">
      <c r="A5" s="185">
        <v>3</v>
      </c>
      <c r="B5" s="327" t="s">
        <v>255</v>
      </c>
      <c r="C5" s="186" t="s">
        <v>954</v>
      </c>
      <c r="D5" s="188" t="s">
        <v>178</v>
      </c>
      <c r="E5" s="185" t="s">
        <v>950</v>
      </c>
      <c r="F5" s="328" t="s">
        <v>162</v>
      </c>
      <c r="G5" s="329">
        <v>99.76</v>
      </c>
      <c r="H5" s="25" t="s">
        <v>955</v>
      </c>
    </row>
    <row r="6" spans="1:8" ht="51.75" customHeight="1" x14ac:dyDescent="0.2">
      <c r="A6" s="191">
        <v>4</v>
      </c>
      <c r="B6" s="330" t="s">
        <v>255</v>
      </c>
      <c r="C6" s="192" t="s">
        <v>956</v>
      </c>
      <c r="D6" s="194" t="s">
        <v>178</v>
      </c>
      <c r="E6" s="191" t="s">
        <v>950</v>
      </c>
      <c r="F6" s="331" t="s">
        <v>162</v>
      </c>
      <c r="G6" s="332">
        <v>99.76</v>
      </c>
      <c r="H6" s="21" t="s">
        <v>957</v>
      </c>
    </row>
    <row r="7" spans="1:8" ht="51.75" customHeight="1" x14ac:dyDescent="0.2">
      <c r="A7" s="185">
        <v>5</v>
      </c>
      <c r="B7" s="327" t="s">
        <v>255</v>
      </c>
      <c r="C7" s="186" t="s">
        <v>264</v>
      </c>
      <c r="D7" s="188" t="s">
        <v>249</v>
      </c>
      <c r="E7" s="185" t="s">
        <v>950</v>
      </c>
      <c r="F7" s="328" t="s">
        <v>162</v>
      </c>
      <c r="G7" s="329">
        <v>130.87</v>
      </c>
      <c r="H7" s="25" t="s">
        <v>958</v>
      </c>
    </row>
    <row r="8" spans="1:8" ht="51.75" customHeight="1" x14ac:dyDescent="0.2">
      <c r="A8" s="191">
        <v>6</v>
      </c>
      <c r="B8" s="330" t="s">
        <v>255</v>
      </c>
      <c r="C8" s="192" t="s">
        <v>959</v>
      </c>
      <c r="D8" s="194" t="s">
        <v>178</v>
      </c>
      <c r="E8" s="191" t="s">
        <v>950</v>
      </c>
      <c r="F8" s="331" t="s">
        <v>162</v>
      </c>
      <c r="G8" s="332">
        <v>99.76</v>
      </c>
      <c r="H8" s="21" t="s">
        <v>960</v>
      </c>
    </row>
    <row r="9" spans="1:8" ht="51.75" customHeight="1" x14ac:dyDescent="0.2">
      <c r="A9" s="185">
        <v>7</v>
      </c>
      <c r="B9" s="327" t="s">
        <v>255</v>
      </c>
      <c r="C9" s="186" t="s">
        <v>961</v>
      </c>
      <c r="D9" s="188" t="s">
        <v>178</v>
      </c>
      <c r="E9" s="185" t="s">
        <v>950</v>
      </c>
      <c r="F9" s="328" t="s">
        <v>162</v>
      </c>
      <c r="G9" s="329">
        <v>99.76</v>
      </c>
      <c r="H9" s="25" t="s">
        <v>962</v>
      </c>
    </row>
    <row r="10" spans="1:8" ht="51.75" customHeight="1" x14ac:dyDescent="0.2">
      <c r="A10" s="191">
        <v>8</v>
      </c>
      <c r="B10" s="330" t="s">
        <v>255</v>
      </c>
      <c r="C10" s="192" t="s">
        <v>963</v>
      </c>
      <c r="D10" s="194" t="s">
        <v>178</v>
      </c>
      <c r="E10" s="191" t="s">
        <v>950</v>
      </c>
      <c r="F10" s="331" t="s">
        <v>162</v>
      </c>
      <c r="G10" s="332">
        <v>99.76</v>
      </c>
      <c r="H10" s="21" t="s">
        <v>964</v>
      </c>
    </row>
    <row r="11" spans="1:8" ht="64.5" customHeight="1" x14ac:dyDescent="0.2">
      <c r="A11" s="185">
        <v>9</v>
      </c>
      <c r="B11" s="327" t="s">
        <v>255</v>
      </c>
      <c r="C11" s="186" t="s">
        <v>965</v>
      </c>
      <c r="D11" s="188" t="s">
        <v>178</v>
      </c>
      <c r="E11" s="185" t="s">
        <v>950</v>
      </c>
      <c r="F11" s="328" t="s">
        <v>162</v>
      </c>
      <c r="G11" s="329">
        <v>192.01</v>
      </c>
      <c r="H11" s="25" t="s">
        <v>966</v>
      </c>
    </row>
    <row r="12" spans="1:8" ht="64.5" customHeight="1" x14ac:dyDescent="0.2">
      <c r="A12" s="129">
        <v>10</v>
      </c>
      <c r="B12" s="333" t="s">
        <v>255</v>
      </c>
      <c r="C12" s="130" t="s">
        <v>274</v>
      </c>
      <c r="D12" s="132" t="s">
        <v>967</v>
      </c>
      <c r="E12" s="129" t="s">
        <v>950</v>
      </c>
      <c r="F12" s="334" t="s">
        <v>162</v>
      </c>
      <c r="G12" s="335">
        <v>10.87</v>
      </c>
      <c r="H12" s="336" t="s">
        <v>968</v>
      </c>
    </row>
    <row r="13" spans="1:8" ht="64.5" customHeight="1" x14ac:dyDescent="0.2">
      <c r="A13" s="185">
        <v>11</v>
      </c>
      <c r="B13" s="327" t="s">
        <v>255</v>
      </c>
      <c r="C13" s="186" t="s">
        <v>969</v>
      </c>
      <c r="D13" s="188" t="s">
        <v>278</v>
      </c>
      <c r="E13" s="185" t="s">
        <v>950</v>
      </c>
      <c r="F13" s="328" t="s">
        <v>162</v>
      </c>
      <c r="G13" s="329">
        <v>63.32</v>
      </c>
      <c r="H13" s="25" t="s">
        <v>970</v>
      </c>
    </row>
    <row r="14" spans="1:8" ht="51.75" customHeight="1" x14ac:dyDescent="0.2">
      <c r="A14" s="129">
        <v>12</v>
      </c>
      <c r="B14" s="333" t="s">
        <v>255</v>
      </c>
      <c r="C14" s="130" t="s">
        <v>971</v>
      </c>
      <c r="D14" s="132" t="s">
        <v>972</v>
      </c>
      <c r="E14" s="129" t="s">
        <v>132</v>
      </c>
      <c r="F14" s="334" t="s">
        <v>162</v>
      </c>
      <c r="G14" s="335">
        <v>58.66</v>
      </c>
      <c r="H14" s="336" t="s">
        <v>973</v>
      </c>
    </row>
    <row r="15" spans="1:8" ht="51.75" customHeight="1" x14ac:dyDescent="0.2">
      <c r="A15" s="129">
        <v>13</v>
      </c>
      <c r="B15" s="333" t="s">
        <v>255</v>
      </c>
      <c r="C15" s="130" t="s">
        <v>282</v>
      </c>
      <c r="D15" s="132" t="s">
        <v>972</v>
      </c>
      <c r="E15" s="129" t="s">
        <v>132</v>
      </c>
      <c r="F15" s="334" t="s">
        <v>162</v>
      </c>
      <c r="G15" s="335">
        <v>58.66</v>
      </c>
      <c r="H15" s="336" t="s">
        <v>974</v>
      </c>
    </row>
    <row r="16" spans="1:8" ht="51.75" customHeight="1" x14ac:dyDescent="0.2">
      <c r="A16" s="191">
        <v>14</v>
      </c>
      <c r="B16" s="330" t="s">
        <v>283</v>
      </c>
      <c r="C16" s="192" t="s">
        <v>975</v>
      </c>
      <c r="D16" s="194" t="s">
        <v>285</v>
      </c>
      <c r="E16" s="191" t="s">
        <v>509</v>
      </c>
      <c r="F16" s="331" t="s">
        <v>162</v>
      </c>
      <c r="G16" s="332">
        <v>459.9</v>
      </c>
      <c r="H16" s="21" t="s">
        <v>976</v>
      </c>
    </row>
    <row r="17" spans="1:8" ht="39" customHeight="1" x14ac:dyDescent="0.2">
      <c r="A17" s="185">
        <v>15</v>
      </c>
      <c r="B17" s="327" t="s">
        <v>977</v>
      </c>
      <c r="C17" s="186" t="s">
        <v>978</v>
      </c>
      <c r="D17" s="188" t="s">
        <v>979</v>
      </c>
      <c r="E17" s="185" t="s">
        <v>509</v>
      </c>
      <c r="F17" s="328" t="s">
        <v>162</v>
      </c>
      <c r="G17" s="329">
        <v>657.89</v>
      </c>
      <c r="H17" s="25" t="s">
        <v>980</v>
      </c>
    </row>
    <row r="18" spans="1:8" ht="39" customHeight="1" x14ac:dyDescent="0.2">
      <c r="A18" s="191">
        <v>16</v>
      </c>
      <c r="B18" s="330" t="s">
        <v>291</v>
      </c>
      <c r="C18" s="192" t="s">
        <v>981</v>
      </c>
      <c r="D18" s="194" t="s">
        <v>982</v>
      </c>
      <c r="E18" s="191" t="s">
        <v>509</v>
      </c>
      <c r="F18" s="331" t="s">
        <v>162</v>
      </c>
      <c r="G18" s="332">
        <v>56.77</v>
      </c>
      <c r="H18" s="21" t="s">
        <v>983</v>
      </c>
    </row>
    <row r="19" spans="1:8" ht="39" customHeight="1" x14ac:dyDescent="0.2">
      <c r="A19" s="185">
        <v>17</v>
      </c>
      <c r="B19" s="327" t="s">
        <v>984</v>
      </c>
      <c r="C19" s="186" t="s">
        <v>985</v>
      </c>
      <c r="D19" s="188" t="s">
        <v>986</v>
      </c>
      <c r="E19" s="185" t="s">
        <v>509</v>
      </c>
      <c r="F19" s="328" t="s">
        <v>162</v>
      </c>
      <c r="G19" s="329">
        <v>41.76</v>
      </c>
      <c r="H19" s="25" t="s">
        <v>987</v>
      </c>
    </row>
    <row r="20" spans="1:8" ht="39" customHeight="1" x14ac:dyDescent="0.2">
      <c r="A20" s="191">
        <v>18</v>
      </c>
      <c r="B20" s="330" t="s">
        <v>988</v>
      </c>
      <c r="C20" s="192" t="s">
        <v>300</v>
      </c>
      <c r="D20" s="194" t="s">
        <v>299</v>
      </c>
      <c r="E20" s="191" t="s">
        <v>509</v>
      </c>
      <c r="F20" s="331" t="s">
        <v>162</v>
      </c>
      <c r="G20" s="332">
        <v>1.76</v>
      </c>
      <c r="H20" s="21" t="s">
        <v>989</v>
      </c>
    </row>
    <row r="21" spans="1:8" ht="39" customHeight="1" x14ac:dyDescent="0.2">
      <c r="A21" s="185">
        <v>19</v>
      </c>
      <c r="B21" s="327" t="s">
        <v>990</v>
      </c>
      <c r="C21" s="186" t="s">
        <v>856</v>
      </c>
      <c r="D21" s="188" t="s">
        <v>991</v>
      </c>
      <c r="E21" s="185" t="s">
        <v>509</v>
      </c>
      <c r="F21" s="328" t="s">
        <v>162</v>
      </c>
      <c r="G21" s="329">
        <v>775.37</v>
      </c>
      <c r="H21" s="25" t="s">
        <v>992</v>
      </c>
    </row>
    <row r="22" spans="1:8" ht="39" customHeight="1" x14ac:dyDescent="0.2">
      <c r="A22" s="191">
        <v>20</v>
      </c>
      <c r="B22" s="330" t="s">
        <v>303</v>
      </c>
      <c r="C22" s="192" t="s">
        <v>993</v>
      </c>
      <c r="D22" s="194" t="s">
        <v>305</v>
      </c>
      <c r="E22" s="191" t="s">
        <v>509</v>
      </c>
      <c r="F22" s="331" t="s">
        <v>162</v>
      </c>
      <c r="G22" s="332">
        <v>224.4</v>
      </c>
      <c r="H22" s="21" t="s">
        <v>994</v>
      </c>
    </row>
    <row r="23" spans="1:8" ht="39" customHeight="1" x14ac:dyDescent="0.2">
      <c r="A23" s="185">
        <v>21</v>
      </c>
      <c r="B23" s="327" t="s">
        <v>307</v>
      </c>
      <c r="C23" s="186" t="s">
        <v>995</v>
      </c>
      <c r="D23" s="188" t="s">
        <v>996</v>
      </c>
      <c r="E23" s="185" t="s">
        <v>509</v>
      </c>
      <c r="F23" s="328" t="s">
        <v>162</v>
      </c>
      <c r="G23" s="329">
        <v>179.04</v>
      </c>
      <c r="H23" s="25" t="s">
        <v>997</v>
      </c>
    </row>
    <row r="24" spans="1:8" ht="51.75" customHeight="1" x14ac:dyDescent="0.2">
      <c r="A24" s="191">
        <v>22</v>
      </c>
      <c r="B24" s="330" t="s">
        <v>618</v>
      </c>
      <c r="C24" s="192" t="s">
        <v>998</v>
      </c>
      <c r="D24" s="194" t="s">
        <v>999</v>
      </c>
      <c r="E24" s="191" t="s">
        <v>509</v>
      </c>
      <c r="F24" s="331" t="s">
        <v>162</v>
      </c>
      <c r="G24" s="332">
        <v>235.38</v>
      </c>
      <c r="H24" s="21" t="s">
        <v>1000</v>
      </c>
    </row>
    <row r="25" spans="1:8" ht="51.75" customHeight="1" x14ac:dyDescent="0.2">
      <c r="A25" s="165">
        <v>23</v>
      </c>
      <c r="B25" s="337" t="s">
        <v>1001</v>
      </c>
      <c r="C25" s="166" t="s">
        <v>1002</v>
      </c>
      <c r="D25" s="169" t="s">
        <v>1003</v>
      </c>
      <c r="E25" s="165" t="s">
        <v>509</v>
      </c>
      <c r="F25" s="338" t="s">
        <v>230</v>
      </c>
      <c r="G25" s="339">
        <v>951.78</v>
      </c>
      <c r="H25" s="173" t="s">
        <v>1004</v>
      </c>
    </row>
    <row r="26" spans="1:8" ht="39" customHeight="1" x14ac:dyDescent="0.2">
      <c r="A26" s="165">
        <v>24</v>
      </c>
      <c r="B26" s="337" t="s">
        <v>283</v>
      </c>
      <c r="C26" s="166" t="s">
        <v>1005</v>
      </c>
      <c r="D26" s="169" t="s">
        <v>1006</v>
      </c>
      <c r="E26" s="165" t="s">
        <v>509</v>
      </c>
      <c r="F26" s="338" t="s">
        <v>230</v>
      </c>
      <c r="G26" s="339">
        <v>25</v>
      </c>
      <c r="H26" s="173" t="s">
        <v>1007</v>
      </c>
    </row>
    <row r="27" spans="1:8" ht="39" customHeight="1" x14ac:dyDescent="0.2">
      <c r="A27" s="165">
        <v>25</v>
      </c>
      <c r="B27" s="337" t="s">
        <v>977</v>
      </c>
      <c r="C27" s="166" t="s">
        <v>1008</v>
      </c>
      <c r="D27" s="169" t="s">
        <v>979</v>
      </c>
      <c r="E27" s="165" t="s">
        <v>509</v>
      </c>
      <c r="F27" s="338" t="s">
        <v>230</v>
      </c>
      <c r="G27" s="339">
        <v>657.89</v>
      </c>
      <c r="H27" s="173" t="s">
        <v>1009</v>
      </c>
    </row>
    <row r="28" spans="1:8" ht="39" customHeight="1" x14ac:dyDescent="0.2">
      <c r="A28" s="165">
        <v>26</v>
      </c>
      <c r="B28" s="337" t="s">
        <v>291</v>
      </c>
      <c r="C28" s="166" t="s">
        <v>1008</v>
      </c>
      <c r="D28" s="169" t="s">
        <v>292</v>
      </c>
      <c r="E28" s="165" t="s">
        <v>509</v>
      </c>
      <c r="F28" s="338" t="s">
        <v>230</v>
      </c>
      <c r="G28" s="339">
        <v>81.59</v>
      </c>
      <c r="H28" s="173" t="s">
        <v>1010</v>
      </c>
    </row>
    <row r="29" spans="1:8" ht="39" customHeight="1" x14ac:dyDescent="0.2">
      <c r="A29" s="165">
        <v>27</v>
      </c>
      <c r="B29" s="337" t="s">
        <v>984</v>
      </c>
      <c r="C29" s="166" t="s">
        <v>1011</v>
      </c>
      <c r="D29" s="169" t="s">
        <v>986</v>
      </c>
      <c r="E29" s="165" t="s">
        <v>509</v>
      </c>
      <c r="F29" s="338" t="s">
        <v>230</v>
      </c>
      <c r="G29" s="339">
        <v>41.76</v>
      </c>
      <c r="H29" s="173" t="s">
        <v>1012</v>
      </c>
    </row>
    <row r="30" spans="1:8" ht="39" customHeight="1" x14ac:dyDescent="0.2">
      <c r="A30" s="165">
        <v>28</v>
      </c>
      <c r="B30" s="337" t="s">
        <v>303</v>
      </c>
      <c r="C30" s="166" t="s">
        <v>1013</v>
      </c>
      <c r="D30" s="169" t="s">
        <v>305</v>
      </c>
      <c r="E30" s="165" t="s">
        <v>509</v>
      </c>
      <c r="F30" s="338" t="s">
        <v>230</v>
      </c>
      <c r="G30" s="339">
        <v>224.4</v>
      </c>
      <c r="H30" s="173" t="s">
        <v>1014</v>
      </c>
    </row>
    <row r="31" spans="1:8" ht="39" customHeight="1" x14ac:dyDescent="0.2">
      <c r="A31" s="165">
        <v>29</v>
      </c>
      <c r="B31" s="337" t="s">
        <v>307</v>
      </c>
      <c r="C31" s="166" t="s">
        <v>1015</v>
      </c>
      <c r="D31" s="169" t="s">
        <v>1016</v>
      </c>
      <c r="E31" s="165" t="s">
        <v>509</v>
      </c>
      <c r="F31" s="340">
        <f>SUM(F3:F30)</f>
        <v>0</v>
      </c>
      <c r="G31" s="339">
        <v>64.48</v>
      </c>
      <c r="H31" s="173" t="s">
        <v>1017</v>
      </c>
    </row>
    <row r="32" spans="1:8" ht="39" customHeight="1" x14ac:dyDescent="0.2">
      <c r="A32" s="165">
        <v>30</v>
      </c>
      <c r="B32" s="337" t="s">
        <v>618</v>
      </c>
      <c r="C32" s="166" t="s">
        <v>1018</v>
      </c>
      <c r="D32" s="169" t="s">
        <v>333</v>
      </c>
      <c r="E32" s="165" t="s">
        <v>509</v>
      </c>
      <c r="F32" s="168" t="s">
        <v>230</v>
      </c>
      <c r="G32" s="339">
        <v>312.7</v>
      </c>
      <c r="H32" s="173" t="s">
        <v>1019</v>
      </c>
    </row>
    <row r="33" spans="1:8" ht="25.5" customHeight="1" x14ac:dyDescent="0.2">
      <c r="A33" s="341" t="s">
        <v>1020</v>
      </c>
      <c r="B33" s="342"/>
      <c r="C33" s="342"/>
      <c r="D33" s="342"/>
      <c r="E33" s="342"/>
      <c r="F33" s="342"/>
      <c r="G33" s="343">
        <f>SUM(G3:G32)</f>
        <v>6209.14</v>
      </c>
      <c r="H33" s="342"/>
    </row>
    <row r="35" spans="1:8" ht="15" customHeight="1" x14ac:dyDescent="0.2">
      <c r="B35" t="s">
        <v>1021</v>
      </c>
    </row>
  </sheetData>
  <autoFilter ref="A2:H30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5"/>
  <sheetViews>
    <sheetView showGridLines="0" topLeftCell="D1" zoomScaleNormal="100" workbookViewId="0">
      <selection activeCell="H127" sqref="H127"/>
    </sheetView>
  </sheetViews>
  <sheetFormatPr baseColWidth="10" defaultColWidth="8.6640625" defaultRowHeight="15" x14ac:dyDescent="0.2"/>
  <cols>
    <col min="1" max="1" width="6" customWidth="1"/>
    <col min="2" max="2" width="28" customWidth="1"/>
    <col min="3" max="3" width="14" customWidth="1"/>
    <col min="4" max="4" width="32" customWidth="1"/>
    <col min="5" max="5" width="21.1640625" customWidth="1"/>
    <col min="6" max="7" width="14" customWidth="1"/>
    <col min="8" max="8" width="50" customWidth="1"/>
  </cols>
  <sheetData>
    <row r="1" spans="1:8" ht="17.25" customHeight="1" x14ac:dyDescent="0.2">
      <c r="A1" s="367" t="s">
        <v>1022</v>
      </c>
      <c r="B1" s="367"/>
      <c r="C1" s="367"/>
      <c r="D1" s="367"/>
      <c r="E1" s="367"/>
      <c r="F1" s="367"/>
      <c r="G1" s="367"/>
      <c r="H1" s="367"/>
    </row>
    <row r="2" spans="1:8" ht="15" customHeight="1" x14ac:dyDescent="0.2">
      <c r="A2" s="368" t="s">
        <v>1023</v>
      </c>
      <c r="B2" s="368"/>
      <c r="C2" s="368"/>
      <c r="D2" s="368"/>
      <c r="E2" s="368"/>
      <c r="F2" s="368"/>
      <c r="G2" s="368"/>
      <c r="H2" s="368"/>
    </row>
    <row r="4" spans="1:8" ht="15" customHeight="1" x14ac:dyDescent="0.2">
      <c r="A4" s="366" t="s">
        <v>1024</v>
      </c>
      <c r="B4" s="366"/>
      <c r="C4" s="366"/>
      <c r="D4" s="366"/>
      <c r="E4" s="366"/>
      <c r="F4" s="366"/>
      <c r="G4" s="366"/>
      <c r="H4" s="366"/>
    </row>
    <row r="5" spans="1:8" ht="18" customHeight="1" x14ac:dyDescent="0.2"/>
    <row r="6" spans="1:8" ht="18" customHeight="1" x14ac:dyDescent="0.2"/>
    <row r="7" spans="1:8" ht="18" customHeight="1" x14ac:dyDescent="0.2"/>
    <row r="8" spans="1:8" ht="18" customHeight="1" x14ac:dyDescent="0.2"/>
    <row r="9" spans="1:8" ht="18" customHeight="1" x14ac:dyDescent="0.2"/>
    <row r="10" spans="1:8" ht="18" customHeight="1" x14ac:dyDescent="0.2"/>
    <row r="11" spans="1:8" ht="18" customHeight="1" x14ac:dyDescent="0.2"/>
    <row r="12" spans="1:8" ht="18" customHeight="1" x14ac:dyDescent="0.2"/>
    <row r="13" spans="1:8" ht="18" customHeight="1" x14ac:dyDescent="0.2"/>
    <row r="14" spans="1:8" ht="18" customHeight="1" x14ac:dyDescent="0.2"/>
    <row r="15" spans="1:8" ht="18" customHeight="1" x14ac:dyDescent="0.2"/>
    <row r="16" spans="1: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  <row r="32" ht="18" customHeight="1" x14ac:dyDescent="0.2"/>
    <row r="33" spans="1:8" ht="18" customHeight="1" x14ac:dyDescent="0.2"/>
    <row r="34" spans="1:8" ht="18" customHeight="1" x14ac:dyDescent="0.2"/>
    <row r="35" spans="1:8" ht="18" customHeight="1" x14ac:dyDescent="0.2"/>
    <row r="36" spans="1:8" ht="18" customHeight="1" x14ac:dyDescent="0.2"/>
    <row r="37" spans="1:8" ht="18" customHeight="1" x14ac:dyDescent="0.2"/>
    <row r="38" spans="1:8" ht="18" customHeight="1" x14ac:dyDescent="0.2"/>
    <row r="39" spans="1:8" ht="18" customHeight="1" x14ac:dyDescent="0.2"/>
    <row r="41" spans="1:8" ht="15" customHeight="1" x14ac:dyDescent="0.2">
      <c r="A41" s="366" t="s">
        <v>1025</v>
      </c>
      <c r="B41" s="366"/>
      <c r="C41" s="366"/>
      <c r="D41" s="366"/>
      <c r="E41" s="366"/>
      <c r="F41" s="366"/>
      <c r="G41" s="366"/>
      <c r="H41" s="366"/>
    </row>
    <row r="42" spans="1:8" ht="15.75" customHeight="1" x14ac:dyDescent="0.2">
      <c r="A42" s="368" t="s">
        <v>1026</v>
      </c>
      <c r="B42" s="368"/>
      <c r="C42" s="368"/>
      <c r="D42" s="368"/>
      <c r="E42" s="368"/>
      <c r="F42" s="368"/>
      <c r="G42" s="368"/>
      <c r="H42" s="368"/>
    </row>
    <row r="43" spans="1:8" ht="15.75" customHeight="1" x14ac:dyDescent="0.2">
      <c r="A43" s="368" t="s">
        <v>1027</v>
      </c>
      <c r="B43" s="368"/>
      <c r="C43" s="368"/>
      <c r="D43" s="368"/>
      <c r="E43" s="368"/>
      <c r="F43" s="368"/>
      <c r="G43" s="368"/>
      <c r="H43" s="368"/>
    </row>
    <row r="44" spans="1:8" ht="15.75" customHeight="1" x14ac:dyDescent="0.2">
      <c r="A44" s="368" t="s">
        <v>1028</v>
      </c>
      <c r="B44" s="368"/>
      <c r="C44" s="368"/>
      <c r="D44" s="368"/>
      <c r="E44" s="368"/>
      <c r="F44" s="368"/>
      <c r="G44" s="368"/>
      <c r="H44" s="368"/>
    </row>
    <row r="45" spans="1:8" ht="15.75" customHeight="1" x14ac:dyDescent="0.2">
      <c r="A45" s="368" t="s">
        <v>1029</v>
      </c>
      <c r="B45" s="368"/>
      <c r="C45" s="368"/>
      <c r="D45" s="368"/>
      <c r="E45" s="368"/>
      <c r="F45" s="368"/>
      <c r="G45" s="368"/>
      <c r="H45" s="368"/>
    </row>
    <row r="46" spans="1:8" ht="15.75" customHeight="1" x14ac:dyDescent="0.2">
      <c r="A46" s="368" t="s">
        <v>1030</v>
      </c>
      <c r="B46" s="368"/>
      <c r="C46" s="368"/>
      <c r="D46" s="368"/>
      <c r="E46" s="368"/>
      <c r="F46" s="368"/>
      <c r="G46" s="368"/>
      <c r="H46" s="368"/>
    </row>
    <row r="47" spans="1:8" ht="15.75" customHeight="1" x14ac:dyDescent="0.2">
      <c r="A47" s="368" t="s">
        <v>1031</v>
      </c>
      <c r="B47" s="368"/>
      <c r="C47" s="368"/>
      <c r="D47" s="368"/>
      <c r="E47" s="368"/>
      <c r="F47" s="368"/>
      <c r="G47" s="368"/>
      <c r="H47" s="368"/>
    </row>
    <row r="48" spans="1:8" ht="15.75" customHeight="1" x14ac:dyDescent="0.2">
      <c r="A48" s="368" t="s">
        <v>1032</v>
      </c>
      <c r="B48" s="368"/>
      <c r="C48" s="368"/>
      <c r="D48" s="368"/>
      <c r="E48" s="368"/>
      <c r="F48" s="368"/>
      <c r="G48" s="368"/>
      <c r="H48" s="368"/>
    </row>
    <row r="49" spans="1:8" ht="15.75" customHeight="1" x14ac:dyDescent="0.2">
      <c r="A49" s="368" t="s">
        <v>1033</v>
      </c>
      <c r="B49" s="368"/>
      <c r="C49" s="368"/>
      <c r="D49" s="368"/>
      <c r="E49" s="368"/>
      <c r="F49" s="368"/>
      <c r="G49" s="368"/>
      <c r="H49" s="368"/>
    </row>
    <row r="50" spans="1:8" ht="15.75" customHeight="1" x14ac:dyDescent="0.2">
      <c r="A50" s="368" t="s">
        <v>1034</v>
      </c>
      <c r="B50" s="368"/>
      <c r="C50" s="368"/>
      <c r="D50" s="368"/>
      <c r="E50" s="368"/>
      <c r="F50" s="368"/>
      <c r="G50" s="368"/>
      <c r="H50" s="368"/>
    </row>
    <row r="52" spans="1:8" ht="15" customHeight="1" x14ac:dyDescent="0.2">
      <c r="A52" s="366" t="s">
        <v>1035</v>
      </c>
      <c r="B52" s="366"/>
      <c r="C52" s="366"/>
      <c r="D52" s="366"/>
      <c r="E52" s="366"/>
      <c r="F52" s="366"/>
      <c r="G52" s="366"/>
      <c r="H52" s="366"/>
    </row>
    <row r="53" spans="1:8" ht="15" customHeight="1" x14ac:dyDescent="0.2">
      <c r="A53" s="344" t="s">
        <v>1036</v>
      </c>
      <c r="B53" s="373" t="s">
        <v>1037</v>
      </c>
      <c r="C53" s="373"/>
      <c r="D53" s="373"/>
      <c r="E53" s="373"/>
    </row>
    <row r="54" spans="1:8" ht="15" customHeight="1" x14ac:dyDescent="0.2">
      <c r="A54" s="344" t="s">
        <v>1038</v>
      </c>
      <c r="B54" s="373" t="s">
        <v>1039</v>
      </c>
      <c r="C54" s="373"/>
      <c r="D54" s="373"/>
      <c r="E54" s="373"/>
    </row>
    <row r="55" spans="1:8" ht="15" customHeight="1" x14ac:dyDescent="0.2">
      <c r="A55" s="344" t="s">
        <v>1040</v>
      </c>
      <c r="B55" s="373" t="s">
        <v>1041</v>
      </c>
      <c r="C55" s="373"/>
      <c r="D55" s="373"/>
      <c r="E55" s="373"/>
    </row>
    <row r="56" spans="1:8" ht="15" customHeight="1" x14ac:dyDescent="0.2">
      <c r="A56" s="344" t="s">
        <v>1042</v>
      </c>
      <c r="B56" s="373" t="s">
        <v>1043</v>
      </c>
      <c r="C56" s="373"/>
      <c r="D56" s="373"/>
      <c r="E56" s="373"/>
    </row>
    <row r="57" spans="1:8" ht="15" customHeight="1" x14ac:dyDescent="0.2">
      <c r="A57" s="344" t="s">
        <v>1044</v>
      </c>
      <c r="B57" s="373" t="s">
        <v>1045</v>
      </c>
      <c r="C57" s="373"/>
      <c r="D57" s="373"/>
      <c r="E57" s="373"/>
    </row>
    <row r="58" spans="1:8" ht="15" customHeight="1" x14ac:dyDescent="0.2">
      <c r="A58" s="344" t="s">
        <v>1046</v>
      </c>
      <c r="B58" s="373" t="s">
        <v>1047</v>
      </c>
      <c r="C58" s="373"/>
      <c r="D58" s="373"/>
      <c r="E58" s="373"/>
    </row>
    <row r="59" spans="1:8" ht="15" customHeight="1" x14ac:dyDescent="0.2">
      <c r="A59" s="344" t="s">
        <v>1048</v>
      </c>
      <c r="B59" s="373" t="s">
        <v>1049</v>
      </c>
      <c r="C59" s="373"/>
      <c r="D59" s="373"/>
      <c r="E59" s="373"/>
    </row>
    <row r="60" spans="1:8" ht="15" customHeight="1" x14ac:dyDescent="0.2">
      <c r="A60" s="344" t="s">
        <v>1050</v>
      </c>
      <c r="B60" s="373" t="s">
        <v>1051</v>
      </c>
      <c r="C60" s="373"/>
      <c r="D60" s="373"/>
      <c r="E60" s="373"/>
    </row>
    <row r="61" spans="1:8" ht="15" customHeight="1" x14ac:dyDescent="0.2">
      <c r="A61" s="344" t="s">
        <v>1052</v>
      </c>
      <c r="B61" s="373" t="s">
        <v>1053</v>
      </c>
      <c r="C61" s="373"/>
      <c r="D61" s="373"/>
      <c r="E61" s="373"/>
    </row>
    <row r="63" spans="1:8" ht="15" customHeight="1" x14ac:dyDescent="0.2">
      <c r="A63" s="366" t="s">
        <v>1054</v>
      </c>
      <c r="B63" s="366"/>
      <c r="C63" s="366"/>
      <c r="D63" s="366"/>
      <c r="E63" s="366"/>
      <c r="F63" s="366"/>
      <c r="G63" s="366"/>
      <c r="H63" s="366"/>
    </row>
    <row r="64" spans="1:8" ht="23.25" customHeight="1" x14ac:dyDescent="0.2">
      <c r="A64" s="53" t="s">
        <v>152</v>
      </c>
      <c r="B64" s="53" t="s">
        <v>1055</v>
      </c>
      <c r="C64" s="53" t="s">
        <v>1056</v>
      </c>
      <c r="D64" s="53" t="s">
        <v>1057</v>
      </c>
      <c r="E64" s="53" t="s">
        <v>477</v>
      </c>
      <c r="F64" s="53" t="s">
        <v>1058</v>
      </c>
      <c r="G64" s="53" t="s">
        <v>1059</v>
      </c>
      <c r="H64" s="53" t="s">
        <v>80</v>
      </c>
    </row>
    <row r="65" spans="1:8" ht="19.5" customHeight="1" x14ac:dyDescent="0.2">
      <c r="A65" s="345">
        <v>1</v>
      </c>
      <c r="B65" s="346" t="s">
        <v>1060</v>
      </c>
      <c r="C65" s="346" t="s">
        <v>1061</v>
      </c>
      <c r="D65" s="346" t="s">
        <v>1062</v>
      </c>
      <c r="E65" s="346" t="s">
        <v>1063</v>
      </c>
      <c r="F65" s="346" t="s">
        <v>1064</v>
      </c>
      <c r="G65" s="346" t="s">
        <v>489</v>
      </c>
      <c r="H65" s="346" t="s">
        <v>1065</v>
      </c>
    </row>
    <row r="66" spans="1:8" ht="19.5" customHeight="1" x14ac:dyDescent="0.2">
      <c r="A66" s="345">
        <v>2</v>
      </c>
      <c r="B66" s="346" t="s">
        <v>1066</v>
      </c>
      <c r="C66" s="346" t="s">
        <v>1067</v>
      </c>
      <c r="D66" s="346" t="s">
        <v>1068</v>
      </c>
      <c r="E66" s="346" t="s">
        <v>1069</v>
      </c>
      <c r="F66" s="346" t="s">
        <v>1064</v>
      </c>
      <c r="G66" s="346" t="s">
        <v>489</v>
      </c>
      <c r="H66" s="346" t="s">
        <v>1070</v>
      </c>
    </row>
    <row r="67" spans="1:8" ht="19.5" customHeight="1" x14ac:dyDescent="0.2">
      <c r="A67" s="345">
        <v>3</v>
      </c>
      <c r="B67" s="346" t="s">
        <v>1071</v>
      </c>
      <c r="C67" s="346" t="s">
        <v>1072</v>
      </c>
      <c r="D67" s="346" t="s">
        <v>1073</v>
      </c>
      <c r="E67" s="346" t="s">
        <v>1069</v>
      </c>
      <c r="F67" s="346" t="s">
        <v>1064</v>
      </c>
      <c r="G67" s="346" t="s">
        <v>489</v>
      </c>
      <c r="H67" s="346" t="s">
        <v>1070</v>
      </c>
    </row>
    <row r="68" spans="1:8" ht="19.5" customHeight="1" x14ac:dyDescent="0.2">
      <c r="A68" s="347">
        <v>4</v>
      </c>
      <c r="B68" s="348" t="s">
        <v>1074</v>
      </c>
      <c r="C68" s="348" t="s">
        <v>1075</v>
      </c>
      <c r="D68" s="348" t="s">
        <v>1076</v>
      </c>
      <c r="E68" s="348" t="s">
        <v>1077</v>
      </c>
      <c r="F68" s="348" t="s">
        <v>1064</v>
      </c>
      <c r="G68" s="348" t="s">
        <v>489</v>
      </c>
      <c r="H68" s="348" t="s">
        <v>1078</v>
      </c>
    </row>
    <row r="69" spans="1:8" ht="19.5" customHeight="1" x14ac:dyDescent="0.2">
      <c r="A69" s="345">
        <v>5</v>
      </c>
      <c r="B69" s="346" t="s">
        <v>1079</v>
      </c>
      <c r="C69" s="346" t="s">
        <v>1080</v>
      </c>
      <c r="D69" s="346" t="s">
        <v>1081</v>
      </c>
      <c r="E69" s="346" t="s">
        <v>1082</v>
      </c>
      <c r="F69" s="346" t="s">
        <v>1064</v>
      </c>
      <c r="G69" s="346" t="s">
        <v>489</v>
      </c>
      <c r="H69" s="346" t="s">
        <v>1070</v>
      </c>
    </row>
    <row r="70" spans="1:8" ht="19.5" customHeight="1" x14ac:dyDescent="0.2">
      <c r="A70" s="345">
        <v>6</v>
      </c>
      <c r="B70" s="346" t="s">
        <v>1083</v>
      </c>
      <c r="C70" s="346" t="s">
        <v>1084</v>
      </c>
      <c r="D70" s="346" t="s">
        <v>1085</v>
      </c>
      <c r="E70" s="346" t="s">
        <v>1086</v>
      </c>
      <c r="F70" s="346" t="s">
        <v>1064</v>
      </c>
      <c r="G70" s="346" t="s">
        <v>1087</v>
      </c>
      <c r="H70" s="346" t="s">
        <v>1088</v>
      </c>
    </row>
    <row r="71" spans="1:8" ht="19.5" customHeight="1" x14ac:dyDescent="0.2">
      <c r="A71" s="345">
        <v>7</v>
      </c>
      <c r="B71" s="346" t="s">
        <v>1089</v>
      </c>
      <c r="C71" s="346" t="s">
        <v>1090</v>
      </c>
      <c r="D71" s="346" t="s">
        <v>1091</v>
      </c>
      <c r="E71" s="346" t="s">
        <v>1082</v>
      </c>
      <c r="F71" s="346" t="s">
        <v>1064</v>
      </c>
      <c r="G71" s="346" t="s">
        <v>489</v>
      </c>
      <c r="H71" s="346" t="s">
        <v>1070</v>
      </c>
    </row>
    <row r="72" spans="1:8" ht="19.5" customHeight="1" x14ac:dyDescent="0.2">
      <c r="A72" s="345">
        <v>8</v>
      </c>
      <c r="B72" s="346" t="s">
        <v>1092</v>
      </c>
      <c r="C72" s="346" t="s">
        <v>1093</v>
      </c>
      <c r="D72" s="346" t="s">
        <v>1094</v>
      </c>
      <c r="E72" s="346" t="s">
        <v>1086</v>
      </c>
      <c r="F72" s="346" t="s">
        <v>1064</v>
      </c>
      <c r="G72" s="346" t="s">
        <v>489</v>
      </c>
      <c r="H72" s="346" t="s">
        <v>1065</v>
      </c>
    </row>
    <row r="73" spans="1:8" ht="19.5" customHeight="1" x14ac:dyDescent="0.2">
      <c r="A73" s="345">
        <v>9</v>
      </c>
      <c r="B73" s="346" t="s">
        <v>1095</v>
      </c>
      <c r="C73" s="346" t="s">
        <v>1096</v>
      </c>
      <c r="D73" s="346" t="s">
        <v>1097</v>
      </c>
      <c r="E73" s="346" t="s">
        <v>1082</v>
      </c>
      <c r="F73" s="346" t="s">
        <v>1064</v>
      </c>
      <c r="G73" s="346" t="s">
        <v>1087</v>
      </c>
      <c r="H73" s="346" t="s">
        <v>1088</v>
      </c>
    </row>
    <row r="74" spans="1:8" ht="19.5" customHeight="1" x14ac:dyDescent="0.2">
      <c r="A74" s="345">
        <v>10</v>
      </c>
      <c r="B74" s="346" t="s">
        <v>1098</v>
      </c>
      <c r="C74" s="346" t="s">
        <v>1099</v>
      </c>
      <c r="D74" s="346" t="s">
        <v>1100</v>
      </c>
      <c r="E74" s="346" t="s">
        <v>1069</v>
      </c>
      <c r="F74" s="346" t="s">
        <v>1064</v>
      </c>
      <c r="G74" s="346" t="s">
        <v>489</v>
      </c>
      <c r="H74" s="346" t="s">
        <v>1070</v>
      </c>
    </row>
    <row r="75" spans="1:8" ht="19.5" customHeight="1" x14ac:dyDescent="0.2">
      <c r="A75" s="345">
        <v>11</v>
      </c>
      <c r="B75" s="346" t="s">
        <v>1101</v>
      </c>
      <c r="C75" s="346" t="s">
        <v>1102</v>
      </c>
      <c r="D75" s="346" t="s">
        <v>1103</v>
      </c>
      <c r="E75" s="346" t="s">
        <v>1069</v>
      </c>
      <c r="F75" s="346" t="s">
        <v>1064</v>
      </c>
      <c r="G75" s="346" t="s">
        <v>489</v>
      </c>
      <c r="H75" s="346" t="s">
        <v>1070</v>
      </c>
    </row>
    <row r="76" spans="1:8" ht="19.5" customHeight="1" x14ac:dyDescent="0.2">
      <c r="A76" s="347">
        <v>12</v>
      </c>
      <c r="B76" s="348" t="s">
        <v>1104</v>
      </c>
      <c r="C76" s="348" t="s">
        <v>1105</v>
      </c>
      <c r="D76" s="348" t="s">
        <v>1106</v>
      </c>
      <c r="E76" s="348" t="s">
        <v>1107</v>
      </c>
      <c r="F76" s="348" t="s">
        <v>1064</v>
      </c>
      <c r="G76" s="348" t="s">
        <v>489</v>
      </c>
      <c r="H76" s="348" t="s">
        <v>1108</v>
      </c>
    </row>
    <row r="77" spans="1:8" ht="19.5" customHeight="1" x14ac:dyDescent="0.2">
      <c r="A77" s="345">
        <v>13</v>
      </c>
      <c r="B77" s="346" t="s">
        <v>1109</v>
      </c>
      <c r="C77" s="346" t="s">
        <v>1110</v>
      </c>
      <c r="D77" s="346" t="s">
        <v>1111</v>
      </c>
      <c r="E77" s="346" t="s">
        <v>1069</v>
      </c>
      <c r="F77" s="346" t="s">
        <v>1064</v>
      </c>
      <c r="G77" s="346" t="s">
        <v>489</v>
      </c>
      <c r="H77" s="346" t="s">
        <v>1070</v>
      </c>
    </row>
    <row r="78" spans="1:8" ht="19.5" customHeight="1" x14ac:dyDescent="0.2">
      <c r="A78" s="345">
        <v>14</v>
      </c>
      <c r="B78" s="346" t="s">
        <v>1112</v>
      </c>
      <c r="C78" s="346" t="s">
        <v>1113</v>
      </c>
      <c r="D78" s="346" t="s">
        <v>1114</v>
      </c>
      <c r="E78" s="346" t="s">
        <v>1069</v>
      </c>
      <c r="F78" s="346" t="s">
        <v>1064</v>
      </c>
      <c r="G78" s="346" t="s">
        <v>1087</v>
      </c>
      <c r="H78" s="346" t="s">
        <v>1088</v>
      </c>
    </row>
    <row r="79" spans="1:8" ht="19.5" customHeight="1" x14ac:dyDescent="0.2">
      <c r="A79" s="345">
        <v>15</v>
      </c>
      <c r="B79" s="346" t="s">
        <v>1115</v>
      </c>
      <c r="C79" s="346" t="s">
        <v>1116</v>
      </c>
      <c r="D79" s="346" t="s">
        <v>1117</v>
      </c>
      <c r="E79" s="346" t="s">
        <v>1069</v>
      </c>
      <c r="F79" s="346" t="s">
        <v>1064</v>
      </c>
      <c r="G79" s="346" t="s">
        <v>489</v>
      </c>
      <c r="H79" s="346" t="s">
        <v>1070</v>
      </c>
    </row>
    <row r="80" spans="1:8" ht="19.5" customHeight="1" x14ac:dyDescent="0.2">
      <c r="A80" s="345">
        <v>16</v>
      </c>
      <c r="B80" s="346" t="s">
        <v>1118</v>
      </c>
      <c r="C80" s="346" t="s">
        <v>1119</v>
      </c>
      <c r="D80" s="346" t="s">
        <v>1120</v>
      </c>
      <c r="E80" s="346" t="s">
        <v>1121</v>
      </c>
      <c r="F80" s="346" t="s">
        <v>1064</v>
      </c>
      <c r="G80" s="346" t="s">
        <v>489</v>
      </c>
      <c r="H80" s="346" t="s">
        <v>1122</v>
      </c>
    </row>
    <row r="81" spans="1:8" ht="19.5" customHeight="1" x14ac:dyDescent="0.2">
      <c r="A81" s="345">
        <v>17</v>
      </c>
      <c r="B81" s="346" t="s">
        <v>1123</v>
      </c>
      <c r="C81" s="346" t="s">
        <v>1124</v>
      </c>
      <c r="D81" s="346" t="s">
        <v>1125</v>
      </c>
      <c r="E81" s="346" t="s">
        <v>1063</v>
      </c>
      <c r="F81" s="346" t="s">
        <v>1064</v>
      </c>
      <c r="G81" s="346" t="s">
        <v>489</v>
      </c>
      <c r="H81" s="346" t="s">
        <v>1065</v>
      </c>
    </row>
    <row r="82" spans="1:8" ht="19.5" customHeight="1" x14ac:dyDescent="0.2">
      <c r="A82" s="345">
        <v>18</v>
      </c>
      <c r="B82" s="346" t="s">
        <v>1126</v>
      </c>
      <c r="C82" s="346" t="s">
        <v>1127</v>
      </c>
      <c r="D82" s="346" t="s">
        <v>1128</v>
      </c>
      <c r="E82" s="346" t="s">
        <v>1063</v>
      </c>
      <c r="F82" s="346" t="s">
        <v>1064</v>
      </c>
      <c r="G82" s="346" t="s">
        <v>489</v>
      </c>
      <c r="H82" s="346" t="s">
        <v>1065</v>
      </c>
    </row>
    <row r="83" spans="1:8" ht="19.5" customHeight="1" x14ac:dyDescent="0.2">
      <c r="A83" s="345">
        <v>19</v>
      </c>
      <c r="B83" s="346" t="s">
        <v>1129</v>
      </c>
      <c r="C83" s="346" t="s">
        <v>1130</v>
      </c>
      <c r="D83" s="346" t="s">
        <v>1131</v>
      </c>
      <c r="E83" s="346" t="s">
        <v>1063</v>
      </c>
      <c r="F83" s="346" t="s">
        <v>1064</v>
      </c>
      <c r="G83" s="346" t="s">
        <v>489</v>
      </c>
      <c r="H83" s="346" t="s">
        <v>1065</v>
      </c>
    </row>
    <row r="84" spans="1:8" ht="19.5" customHeight="1" x14ac:dyDescent="0.2">
      <c r="A84" s="345">
        <v>20</v>
      </c>
      <c r="B84" s="346" t="s">
        <v>1132</v>
      </c>
      <c r="C84" s="346" t="s">
        <v>1133</v>
      </c>
      <c r="D84" s="346" t="s">
        <v>1134</v>
      </c>
      <c r="E84" s="346" t="s">
        <v>1121</v>
      </c>
      <c r="F84" s="346" t="s">
        <v>1064</v>
      </c>
      <c r="G84" s="346" t="s">
        <v>489</v>
      </c>
      <c r="H84" s="346" t="s">
        <v>1122</v>
      </c>
    </row>
    <row r="85" spans="1:8" ht="19.5" customHeight="1" x14ac:dyDescent="0.2">
      <c r="A85" s="345">
        <v>21</v>
      </c>
      <c r="B85" s="346" t="s">
        <v>1135</v>
      </c>
      <c r="C85" s="346" t="s">
        <v>1136</v>
      </c>
      <c r="D85" s="346" t="s">
        <v>1137</v>
      </c>
      <c r="E85" s="346" t="s">
        <v>1121</v>
      </c>
      <c r="F85" s="346" t="s">
        <v>1064</v>
      </c>
      <c r="G85" s="346" t="s">
        <v>489</v>
      </c>
      <c r="H85" s="346" t="s">
        <v>1122</v>
      </c>
    </row>
    <row r="86" spans="1:8" ht="19.5" customHeight="1" x14ac:dyDescent="0.2">
      <c r="A86" s="345">
        <v>22</v>
      </c>
      <c r="B86" s="346" t="s">
        <v>1138</v>
      </c>
      <c r="C86" s="346" t="s">
        <v>1139</v>
      </c>
      <c r="D86" s="346" t="s">
        <v>1140</v>
      </c>
      <c r="E86" s="346" t="s">
        <v>1121</v>
      </c>
      <c r="F86" s="346" t="s">
        <v>1064</v>
      </c>
      <c r="G86" s="346" t="s">
        <v>1087</v>
      </c>
      <c r="H86" s="346" t="s">
        <v>1088</v>
      </c>
    </row>
    <row r="87" spans="1:8" ht="19.5" customHeight="1" x14ac:dyDescent="0.2">
      <c r="A87" s="347">
        <v>23</v>
      </c>
      <c r="B87" s="348" t="s">
        <v>1141</v>
      </c>
      <c r="C87" s="348" t="s">
        <v>1142</v>
      </c>
      <c r="D87" s="348" t="s">
        <v>1143</v>
      </c>
      <c r="E87" s="348" t="s">
        <v>1144</v>
      </c>
      <c r="F87" s="348" t="s">
        <v>1064</v>
      </c>
      <c r="G87" s="348" t="s">
        <v>489</v>
      </c>
      <c r="H87" s="348" t="s">
        <v>1145</v>
      </c>
    </row>
    <row r="88" spans="1:8" ht="19.5" customHeight="1" x14ac:dyDescent="0.2">
      <c r="A88" s="345">
        <v>24</v>
      </c>
      <c r="B88" s="346" t="s">
        <v>1146</v>
      </c>
      <c r="C88" s="346" t="s">
        <v>1147</v>
      </c>
      <c r="D88" s="346" t="s">
        <v>1148</v>
      </c>
      <c r="E88" s="346" t="s">
        <v>1121</v>
      </c>
      <c r="F88" s="346" t="s">
        <v>1064</v>
      </c>
      <c r="G88" s="346" t="s">
        <v>489</v>
      </c>
      <c r="H88" s="346" t="s">
        <v>1122</v>
      </c>
    </row>
    <row r="90" spans="1:8" ht="15" customHeight="1" x14ac:dyDescent="0.2">
      <c r="A90" s="366" t="s">
        <v>1149</v>
      </c>
      <c r="B90" s="366"/>
      <c r="C90" s="366"/>
      <c r="D90" s="366"/>
      <c r="E90" s="366"/>
      <c r="F90" s="366"/>
      <c r="G90" s="366"/>
      <c r="H90" s="366"/>
    </row>
    <row r="91" spans="1:8" ht="23.25" customHeight="1" x14ac:dyDescent="0.2">
      <c r="A91" s="53" t="s">
        <v>152</v>
      </c>
      <c r="B91" s="53" t="s">
        <v>587</v>
      </c>
      <c r="C91" s="53" t="s">
        <v>155</v>
      </c>
      <c r="D91" s="53" t="s">
        <v>588</v>
      </c>
      <c r="E91" s="53" t="s">
        <v>154</v>
      </c>
      <c r="F91" s="53" t="s">
        <v>1150</v>
      </c>
      <c r="G91" s="53" t="s">
        <v>1151</v>
      </c>
      <c r="H91" s="53" t="s">
        <v>80</v>
      </c>
    </row>
    <row r="92" spans="1:8" ht="21.75" customHeight="1" x14ac:dyDescent="0.2">
      <c r="A92" s="349">
        <v>1</v>
      </c>
      <c r="B92" s="350" t="s">
        <v>1152</v>
      </c>
      <c r="C92" s="350" t="s">
        <v>162</v>
      </c>
      <c r="D92" s="350" t="s">
        <v>1153</v>
      </c>
      <c r="E92" s="350" t="s">
        <v>1154</v>
      </c>
      <c r="F92" s="351">
        <v>134</v>
      </c>
      <c r="G92" s="351">
        <f t="shared" ref="G92:G102" si="0">F92*12</f>
        <v>1608</v>
      </c>
      <c r="H92" s="350" t="s">
        <v>1155</v>
      </c>
    </row>
    <row r="93" spans="1:8" ht="21.75" customHeight="1" x14ac:dyDescent="0.2">
      <c r="A93" s="349">
        <v>2</v>
      </c>
      <c r="B93" s="350" t="s">
        <v>1156</v>
      </c>
      <c r="C93" s="350" t="s">
        <v>230</v>
      </c>
      <c r="D93" s="350" t="s">
        <v>1157</v>
      </c>
      <c r="E93" s="350" t="s">
        <v>1154</v>
      </c>
      <c r="F93" s="351">
        <v>85</v>
      </c>
      <c r="G93" s="351">
        <f t="shared" si="0"/>
        <v>1020</v>
      </c>
      <c r="H93" s="350" t="s">
        <v>1158</v>
      </c>
    </row>
    <row r="94" spans="1:8" ht="21.75" customHeight="1" x14ac:dyDescent="0.2">
      <c r="A94" s="349">
        <v>3</v>
      </c>
      <c r="B94" s="350" t="s">
        <v>1159</v>
      </c>
      <c r="C94" s="350" t="s">
        <v>162</v>
      </c>
      <c r="D94" s="350" t="s">
        <v>1160</v>
      </c>
      <c r="E94" s="350" t="s">
        <v>1154</v>
      </c>
      <c r="F94" s="351">
        <v>17.52</v>
      </c>
      <c r="G94" s="351">
        <f t="shared" si="0"/>
        <v>210.24</v>
      </c>
      <c r="H94" s="350" t="s">
        <v>1161</v>
      </c>
    </row>
    <row r="95" spans="1:8" ht="21.75" customHeight="1" x14ac:dyDescent="0.2">
      <c r="A95" s="349">
        <v>4</v>
      </c>
      <c r="B95" s="350" t="s">
        <v>1162</v>
      </c>
      <c r="C95" s="350" t="s">
        <v>162</v>
      </c>
      <c r="D95" s="350" t="s">
        <v>1163</v>
      </c>
      <c r="E95" s="350" t="s">
        <v>1154</v>
      </c>
      <c r="F95" s="351">
        <v>1920</v>
      </c>
      <c r="G95" s="351">
        <f t="shared" si="0"/>
        <v>23040</v>
      </c>
      <c r="H95" s="350" t="s">
        <v>1164</v>
      </c>
    </row>
    <row r="96" spans="1:8" ht="21.75" customHeight="1" x14ac:dyDescent="0.2">
      <c r="A96" s="349">
        <v>5</v>
      </c>
      <c r="B96" s="350" t="s">
        <v>1165</v>
      </c>
      <c r="C96" s="350" t="s">
        <v>230</v>
      </c>
      <c r="D96" s="350" t="s">
        <v>1166</v>
      </c>
      <c r="E96" s="350" t="s">
        <v>1154</v>
      </c>
      <c r="F96" s="351">
        <v>960</v>
      </c>
      <c r="G96" s="351">
        <f t="shared" si="0"/>
        <v>11520</v>
      </c>
      <c r="H96" s="350" t="s">
        <v>1167</v>
      </c>
    </row>
    <row r="97" spans="1:8" ht="21.75" customHeight="1" x14ac:dyDescent="0.2">
      <c r="A97" s="347">
        <v>6</v>
      </c>
      <c r="B97" s="348" t="s">
        <v>1168</v>
      </c>
      <c r="C97" s="348" t="s">
        <v>162</v>
      </c>
      <c r="D97" s="348" t="s">
        <v>1169</v>
      </c>
      <c r="E97" s="348" t="s">
        <v>1154</v>
      </c>
      <c r="F97" s="352">
        <v>800</v>
      </c>
      <c r="G97" s="352">
        <f t="shared" si="0"/>
        <v>9600</v>
      </c>
      <c r="H97" s="348" t="s">
        <v>1170</v>
      </c>
    </row>
    <row r="98" spans="1:8" ht="21.75" customHeight="1" x14ac:dyDescent="0.2">
      <c r="A98" s="349">
        <v>7</v>
      </c>
      <c r="B98" s="350" t="s">
        <v>1171</v>
      </c>
      <c r="C98" s="350" t="s">
        <v>162</v>
      </c>
      <c r="D98" s="350" t="s">
        <v>1172</v>
      </c>
      <c r="E98" s="350" t="s">
        <v>1154</v>
      </c>
      <c r="F98" s="351">
        <v>50</v>
      </c>
      <c r="G98" s="351">
        <f t="shared" si="0"/>
        <v>600</v>
      </c>
      <c r="H98" s="350" t="s">
        <v>1173</v>
      </c>
    </row>
    <row r="99" spans="1:8" ht="21.75" customHeight="1" x14ac:dyDescent="0.2">
      <c r="A99" s="349">
        <v>8</v>
      </c>
      <c r="B99" s="350" t="s">
        <v>1174</v>
      </c>
      <c r="C99" s="350" t="s">
        <v>162</v>
      </c>
      <c r="D99" s="350" t="s">
        <v>1175</v>
      </c>
      <c r="E99" s="350" t="s">
        <v>1154</v>
      </c>
      <c r="F99" s="351">
        <v>50</v>
      </c>
      <c r="G99" s="351">
        <f t="shared" si="0"/>
        <v>600</v>
      </c>
      <c r="H99" s="350" t="s">
        <v>1176</v>
      </c>
    </row>
    <row r="100" spans="1:8" ht="21.75" customHeight="1" x14ac:dyDescent="0.2">
      <c r="A100" s="347">
        <v>9</v>
      </c>
      <c r="B100" s="348" t="s">
        <v>1177</v>
      </c>
      <c r="C100" s="348" t="s">
        <v>162</v>
      </c>
      <c r="D100" s="348" t="s">
        <v>1178</v>
      </c>
      <c r="E100" s="348" t="s">
        <v>1154</v>
      </c>
      <c r="F100" s="352">
        <v>324</v>
      </c>
      <c r="G100" s="352">
        <f t="shared" si="0"/>
        <v>3888</v>
      </c>
      <c r="H100" s="348" t="s">
        <v>1179</v>
      </c>
    </row>
    <row r="101" spans="1:8" ht="27.75" customHeight="1" x14ac:dyDescent="0.2">
      <c r="A101" s="347">
        <v>10</v>
      </c>
      <c r="B101" s="348" t="s">
        <v>1180</v>
      </c>
      <c r="C101" s="348" t="s">
        <v>162</v>
      </c>
      <c r="D101" s="348" t="s">
        <v>1181</v>
      </c>
      <c r="E101" s="348" t="s">
        <v>1154</v>
      </c>
      <c r="F101" s="352">
        <v>115</v>
      </c>
      <c r="G101" s="352">
        <f t="shared" si="0"/>
        <v>1380</v>
      </c>
      <c r="H101" s="348" t="s">
        <v>1182</v>
      </c>
    </row>
    <row r="102" spans="1:8" ht="21.75" customHeight="1" x14ac:dyDescent="0.2">
      <c r="A102" s="349">
        <v>11</v>
      </c>
      <c r="B102" s="350" t="s">
        <v>1183</v>
      </c>
      <c r="C102" s="350" t="s">
        <v>162</v>
      </c>
      <c r="D102" s="350" t="s">
        <v>1184</v>
      </c>
      <c r="E102" s="350" t="s">
        <v>1154</v>
      </c>
      <c r="F102" s="351">
        <v>0</v>
      </c>
      <c r="G102" s="351">
        <f t="shared" si="0"/>
        <v>0</v>
      </c>
      <c r="H102" s="350" t="s">
        <v>1185</v>
      </c>
    </row>
    <row r="104" spans="1:8" ht="15" customHeight="1" x14ac:dyDescent="0.2">
      <c r="A104" s="353"/>
      <c r="B104" s="354" t="s">
        <v>1186</v>
      </c>
      <c r="C104" s="355"/>
      <c r="D104" s="355"/>
      <c r="E104" s="355"/>
      <c r="F104" s="356">
        <f>SUMPRODUCT((F92:F102)*(NOT(ISNUMBER(SEARCH("⚠️",H92:H102)))))</f>
        <v>3216.52</v>
      </c>
      <c r="G104" s="357">
        <f>F104*12</f>
        <v>38598.239999999998</v>
      </c>
      <c r="H104" s="358" t="s">
        <v>1187</v>
      </c>
    </row>
    <row r="105" spans="1:8" ht="15" customHeight="1" x14ac:dyDescent="0.2">
      <c r="A105" s="359"/>
      <c r="B105" s="360" t="s">
        <v>1188</v>
      </c>
      <c r="C105" s="359"/>
      <c r="D105" s="359"/>
      <c r="E105" s="359"/>
      <c r="F105" s="361">
        <f>SUM(F92:F102)</f>
        <v>4455.5200000000004</v>
      </c>
      <c r="G105" s="361">
        <f>F105*12</f>
        <v>53466.240000000005</v>
      </c>
      <c r="H105" s="362" t="s">
        <v>1189</v>
      </c>
    </row>
  </sheetData>
  <autoFilter ref="A91:H102" xr:uid="{00000000-0009-0000-0000-000011000000}"/>
  <mergeCells count="25">
    <mergeCell ref="A1:H1"/>
    <mergeCell ref="A2:H2"/>
    <mergeCell ref="A4:H4"/>
    <mergeCell ref="A41:H41"/>
    <mergeCell ref="A42:H42"/>
    <mergeCell ref="A43:H43"/>
    <mergeCell ref="A44:H44"/>
    <mergeCell ref="A45:H45"/>
    <mergeCell ref="A46:H46"/>
    <mergeCell ref="A47:H47"/>
    <mergeCell ref="A48:H48"/>
    <mergeCell ref="A49:H49"/>
    <mergeCell ref="A50:H50"/>
    <mergeCell ref="A52:H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A63:H63"/>
    <mergeCell ref="A90:H9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4:G30"/>
  <sheetViews>
    <sheetView zoomScaleNormal="100" workbookViewId="0">
      <selection activeCell="E20" sqref="E20"/>
    </sheetView>
  </sheetViews>
  <sheetFormatPr baseColWidth="10" defaultColWidth="10.6640625" defaultRowHeight="15" x14ac:dyDescent="0.2"/>
  <cols>
    <col min="2" max="2" width="14.5" customWidth="1"/>
    <col min="6" max="6" width="11.1640625" customWidth="1"/>
    <col min="7" max="7" width="45.33203125" customWidth="1"/>
  </cols>
  <sheetData>
    <row r="4" spans="2:7" ht="15" customHeight="1" x14ac:dyDescent="0.2">
      <c r="B4" s="245" t="s">
        <v>901</v>
      </c>
      <c r="C4" s="245" t="s">
        <v>1190</v>
      </c>
      <c r="D4" s="245" t="s">
        <v>484</v>
      </c>
      <c r="E4" s="245" t="s">
        <v>1191</v>
      </c>
      <c r="F4" s="245" t="s">
        <v>1192</v>
      </c>
      <c r="G4" s="245" t="s">
        <v>1193</v>
      </c>
    </row>
    <row r="5" spans="2:7" ht="15" customHeight="1" x14ac:dyDescent="0.2">
      <c r="B5" t="s">
        <v>529</v>
      </c>
      <c r="C5" s="363">
        <v>1150</v>
      </c>
      <c r="D5" s="364">
        <v>0.90090000000000003</v>
      </c>
      <c r="E5" t="s">
        <v>1194</v>
      </c>
      <c r="F5" s="363">
        <v>1400</v>
      </c>
      <c r="G5" t="s">
        <v>1195</v>
      </c>
    </row>
    <row r="6" spans="2:7" ht="15" customHeight="1" x14ac:dyDescent="0.2">
      <c r="B6" t="s">
        <v>188</v>
      </c>
      <c r="C6" s="363">
        <v>1250</v>
      </c>
      <c r="D6" s="364">
        <v>0.86539999999999995</v>
      </c>
      <c r="E6" t="s">
        <v>1196</v>
      </c>
      <c r="F6" s="363">
        <v>1450</v>
      </c>
      <c r="G6" t="s">
        <v>1197</v>
      </c>
    </row>
    <row r="7" spans="2:7" ht="15" customHeight="1" x14ac:dyDescent="0.2">
      <c r="B7" t="s">
        <v>200</v>
      </c>
      <c r="C7" s="363">
        <v>1946</v>
      </c>
      <c r="D7" s="364">
        <v>0.85709999999999997</v>
      </c>
      <c r="E7" t="s">
        <v>1198</v>
      </c>
      <c r="F7" s="363">
        <v>2250</v>
      </c>
      <c r="G7" t="s">
        <v>1199</v>
      </c>
    </row>
    <row r="8" spans="2:7" ht="15" customHeight="1" x14ac:dyDescent="0.2">
      <c r="B8" t="s">
        <v>213</v>
      </c>
      <c r="C8">
        <v>730</v>
      </c>
      <c r="D8" s="364">
        <v>0.84760000000000002</v>
      </c>
      <c r="E8" t="s">
        <v>1200</v>
      </c>
      <c r="F8">
        <v>850</v>
      </c>
      <c r="G8" t="s">
        <v>1201</v>
      </c>
    </row>
    <row r="9" spans="2:7" ht="15" customHeight="1" x14ac:dyDescent="0.2">
      <c r="B9" t="s">
        <v>532</v>
      </c>
      <c r="C9">
        <v>800</v>
      </c>
      <c r="D9" s="364">
        <v>0.81589999999999996</v>
      </c>
      <c r="E9" t="s">
        <v>1202</v>
      </c>
      <c r="F9">
        <v>900</v>
      </c>
      <c r="G9" t="s">
        <v>1203</v>
      </c>
    </row>
    <row r="10" spans="2:7" ht="15" customHeight="1" x14ac:dyDescent="0.2">
      <c r="B10" t="s">
        <v>222</v>
      </c>
      <c r="C10" s="363">
        <v>1100</v>
      </c>
      <c r="D10" s="364">
        <v>0.80740000000000001</v>
      </c>
      <c r="E10" t="s">
        <v>1204</v>
      </c>
      <c r="F10" s="363">
        <v>1200</v>
      </c>
      <c r="G10" t="s">
        <v>1205</v>
      </c>
    </row>
    <row r="11" spans="2:7" ht="15" customHeight="1" x14ac:dyDescent="0.2">
      <c r="B11" t="s">
        <v>215</v>
      </c>
      <c r="C11">
        <v>150</v>
      </c>
      <c r="D11" s="364">
        <v>0.80249999999999999</v>
      </c>
      <c r="E11" t="s">
        <v>1206</v>
      </c>
      <c r="F11">
        <v>180</v>
      </c>
      <c r="G11" t="s">
        <v>1207</v>
      </c>
    </row>
    <row r="20" spans="2:2" ht="15.75" customHeight="1" x14ac:dyDescent="0.2">
      <c r="B20" s="245" t="s">
        <v>1208</v>
      </c>
    </row>
    <row r="21" spans="2:2" ht="15" customHeight="1" x14ac:dyDescent="0.2">
      <c r="B21" s="245" t="s">
        <v>1209</v>
      </c>
    </row>
    <row r="22" spans="2:2" ht="15" customHeight="1" x14ac:dyDescent="0.2">
      <c r="B22" s="245" t="s">
        <v>1210</v>
      </c>
    </row>
    <row r="23" spans="2:2" ht="15" customHeight="1" x14ac:dyDescent="0.2">
      <c r="B23" s="245" t="s">
        <v>1211</v>
      </c>
    </row>
    <row r="25" spans="2:2" ht="18.75" customHeight="1" x14ac:dyDescent="0.25">
      <c r="B25" s="365" t="s">
        <v>1212</v>
      </c>
    </row>
    <row r="26" spans="2:2" ht="15" customHeight="1" x14ac:dyDescent="0.2">
      <c r="B26" t="s">
        <v>1213</v>
      </c>
    </row>
    <row r="27" spans="2:2" ht="15" customHeight="1" x14ac:dyDescent="0.2">
      <c r="B27" s="245" t="s">
        <v>1214</v>
      </c>
    </row>
    <row r="28" spans="2:2" ht="15" customHeight="1" x14ac:dyDescent="0.2">
      <c r="B28" s="245" t="s">
        <v>1215</v>
      </c>
    </row>
    <row r="29" spans="2:2" ht="15" customHeight="1" x14ac:dyDescent="0.2">
      <c r="B29" s="245" t="s">
        <v>1216</v>
      </c>
    </row>
    <row r="30" spans="2:2" ht="15" customHeight="1" x14ac:dyDescent="0.2">
      <c r="B30" s="245" t="s">
        <v>1217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4283BB55EE2C488E8192A76BC7F1C2" ma:contentTypeVersion="20" ma:contentTypeDescription="Create a new document." ma:contentTypeScope="" ma:versionID="28c251eb60cb1803ca7fc7e1b1254f06">
  <xsd:schema xmlns:xsd="http://www.w3.org/2001/XMLSchema" xmlns:xs="http://www.w3.org/2001/XMLSchema" xmlns:p="http://schemas.microsoft.com/office/2006/metadata/properties" xmlns:ns1="http://schemas.microsoft.com/sharepoint/v3" xmlns:ns2="bfcf6adf-c0c2-4fcd-9715-69696c42661a" xmlns:ns3="a8d3068f-d424-4c5a-9f7b-feb3b86a0908" targetNamespace="http://schemas.microsoft.com/office/2006/metadata/properties" ma:root="true" ma:fieldsID="dad0acddbb48ebcf9ec5c454c231f6f1" ns1:_="" ns2:_="" ns3:_="">
    <xsd:import namespace="http://schemas.microsoft.com/sharepoint/v3"/>
    <xsd:import namespace="bfcf6adf-c0c2-4fcd-9715-69696c42661a"/>
    <xsd:import namespace="a8d3068f-d424-4c5a-9f7b-feb3b86a090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cf6adf-c0c2-4fcd-9715-69696c4266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d96baaf-ddf9-4761-aa10-a52530b0ec6c}" ma:internalName="TaxCatchAll" ma:showField="CatchAllData" ma:web="bfcf6adf-c0c2-4fcd-9715-69696c4266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3068f-d424-4c5a-9f7b-feb3b86a09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abad212-5f2d-4c3d-9e8e-4cd5c6bec0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8d3068f-d424-4c5a-9f7b-feb3b86a0908">
      <Terms xmlns="http://schemas.microsoft.com/office/infopath/2007/PartnerControls"/>
    </lcf76f155ced4ddcb4097134ff3c332f>
    <TaxCatchAll xmlns="bfcf6adf-c0c2-4fcd-9715-69696c42661a" xsi:nil="true"/>
  </documentManagement>
</p:properties>
</file>

<file path=customXml/itemProps1.xml><?xml version="1.0" encoding="utf-8"?>
<ds:datastoreItem xmlns:ds="http://schemas.openxmlformats.org/officeDocument/2006/customXml" ds:itemID="{B1A18C48-C3A2-4B47-B1B3-A5BE5F96DE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E6B35F-9FC3-47BB-86BC-14492AEA4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cf6adf-c0c2-4fcd-9715-69696c42661a"/>
    <ds:schemaRef ds:uri="a8d3068f-d424-4c5a-9f7b-feb3b86a09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A531DB-407D-4BA0-BDB3-64749704670F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bfcf6adf-c0c2-4fcd-9715-69696c42661a"/>
    <ds:schemaRef ds:uri="http://schemas.microsoft.com/office/2006/documentManagement/types"/>
    <ds:schemaRef ds:uri="a8d3068f-d424-4c5a-9f7b-feb3b86a0908"/>
    <ds:schemaRef ds:uri="http://schemas.microsoft.com/sharepoint/v3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Meeting Outcomes &amp; Summary</vt:lpstr>
      <vt:lpstr>Master - KareXpert Option</vt:lpstr>
      <vt:lpstr>Master - MyHealthcare Option</vt:lpstr>
      <vt:lpstr>MyHealthCommercial Breakdown </vt:lpstr>
      <vt:lpstr>KareXpeCommercial Breakdown </vt:lpstr>
      <vt:lpstr>Commercial Breakdown</vt:lpstr>
      <vt:lpstr>Consolidated Master View</vt:lpstr>
      <vt:lpstr>Consolidated Summary</vt:lpstr>
      <vt:lpstr>Primary TCO - Hyderabad</vt:lpstr>
      <vt:lpstr>DR TCO - Mumbai</vt:lpstr>
      <vt:lpstr>SuppServices4ExistingHIS</vt:lpstr>
      <vt:lpstr>Supporting Services</vt:lpstr>
      <vt:lpstr>Marketplace Offerings</vt:lpstr>
      <vt:lpstr>HIS BOM - KareXpert</vt:lpstr>
      <vt:lpstr>HIS BOM - MyHealthcare</vt:lpstr>
      <vt:lpstr>Active-Active vs Passive</vt:lpstr>
      <vt:lpstr>Existing AWS HMS (Phase 2)</vt:lpstr>
      <vt:lpstr>AD &amp; PACS Infrastructure</vt:lpstr>
      <vt:lpstr>Draft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Minfy</dc:creator>
  <cp:keywords/>
  <dc:description/>
  <cp:lastModifiedBy>Gopal</cp:lastModifiedBy>
  <cp:revision>0</cp:revision>
  <dcterms:created xsi:type="dcterms:W3CDTF">2026-04-24T02:13:43Z</dcterms:created>
  <dcterms:modified xsi:type="dcterms:W3CDTF">2026-08-03T09:40:03Z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0x010100DF4283BB55EE2C488E8192A76BC7F1C2</vt:lpwstr>
  </property>
  <property fmtid="{D5CDD505-2E9C-101B-9397-08002B2CF9AE}" pid="3" name="MediaServiceImageTags">
    <vt:lpwstr/>
  </property>
</Properties>
</file>