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minfytech-my.sharepoint.com/personal/sachin_s_minfytech_com/Documents/Projects/0. Active Projects/0. MAP_Projects/Allianz/Cosec/Cosec Business Case/"/>
    </mc:Choice>
  </mc:AlternateContent>
  <xr:revisionPtr revIDLastSave="0" documentId="8_{FF41D643-9E1F-47E3-BB21-8CA18BA5F5E3}" xr6:coauthVersionLast="47" xr6:coauthVersionMax="47" xr10:uidLastSave="{00000000-0000-0000-0000-000000000000}"/>
  <bookViews>
    <workbookView xWindow="-110" yWindow="-110" windowWidth="19420" windowHeight="10420" tabRatio="500" firstSheet="7" activeTab="7" xr2:uid="{00000000-000D-0000-FFFF-FFFF00000000}"/>
  </bookViews>
  <sheets>
    <sheet name="Assumptions &amp; Scope" sheetId="1" r:id="rId1"/>
    <sheet name="Server Inventory" sheetId="2" r:id="rId2"/>
    <sheet name="AWS Compute Cost" sheetId="3" r:id="rId3"/>
    <sheet name="AWS Storage Cost" sheetId="4" r:id="rId4"/>
    <sheet name="AWS Backup Cost" sheetId="5" r:id="rId5"/>
    <sheet name="AWS DRS Cost" sheetId="6" r:id="rId6"/>
    <sheet name="Network Cost" sheetId="7" r:id="rId7"/>
    <sheet name="Azure Baseline" sheetId="8" r:id="rId8"/>
    <sheet name="TCO Summary" sheetId="9" r:id="rId9"/>
    <sheet name="Pricing Inputs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9" l="1"/>
  <c r="C17" i="8"/>
  <c r="D17" i="8" s="1"/>
  <c r="F17" i="8" s="1"/>
  <c r="B17" i="8"/>
  <c r="C16" i="8"/>
  <c r="D16" i="8" s="1"/>
  <c r="F16" i="8" s="1"/>
  <c r="B16" i="8"/>
  <c r="C15" i="8"/>
  <c r="D15" i="8" s="1"/>
  <c r="F15" i="8" s="1"/>
  <c r="B15" i="8"/>
  <c r="C14" i="8"/>
  <c r="D14" i="8" s="1"/>
  <c r="F14" i="8" s="1"/>
  <c r="B14" i="8"/>
  <c r="C13" i="8"/>
  <c r="D13" i="8" s="1"/>
  <c r="F13" i="8" s="1"/>
  <c r="B13" i="8"/>
  <c r="C12" i="8"/>
  <c r="D12" i="8" s="1"/>
  <c r="F12" i="8" s="1"/>
  <c r="B12" i="8"/>
  <c r="C11" i="8"/>
  <c r="D11" i="8" s="1"/>
  <c r="F11" i="8" s="1"/>
  <c r="B11" i="8"/>
  <c r="C10" i="8"/>
  <c r="D10" i="8" s="1"/>
  <c r="F10" i="8" s="1"/>
  <c r="B10" i="8"/>
  <c r="C9" i="8"/>
  <c r="D9" i="8" s="1"/>
  <c r="F9" i="8" s="1"/>
  <c r="B9" i="8"/>
  <c r="C8" i="8"/>
  <c r="D8" i="8" s="1"/>
  <c r="F8" i="8" s="1"/>
  <c r="B8" i="8"/>
  <c r="C7" i="8"/>
  <c r="B7" i="8"/>
  <c r="D6" i="8"/>
  <c r="F6" i="8" s="1"/>
  <c r="D5" i="8"/>
  <c r="B11" i="7"/>
  <c r="B8" i="7"/>
  <c r="B7" i="7"/>
  <c r="B6" i="7"/>
  <c r="B10" i="7" s="1"/>
  <c r="B12" i="7" s="1"/>
  <c r="B5" i="6"/>
  <c r="B6" i="5"/>
  <c r="B5" i="5"/>
  <c r="B7" i="5" s="1"/>
  <c r="B6" i="4"/>
  <c r="B5" i="4"/>
  <c r="B7" i="4" s="1"/>
  <c r="B6" i="3"/>
  <c r="B5" i="3"/>
  <c r="B7" i="3" s="1"/>
  <c r="R114" i="2"/>
  <c r="Q114" i="2"/>
  <c r="P114" i="2"/>
  <c r="N114" i="2"/>
  <c r="M114" i="2"/>
  <c r="O114" i="2" s="1"/>
  <c r="S114" i="2" s="1"/>
  <c r="I114" i="2"/>
  <c r="R113" i="2"/>
  <c r="N113" i="2"/>
  <c r="M113" i="2"/>
  <c r="I113" i="2"/>
  <c r="Q113" i="2" s="1"/>
  <c r="R112" i="2"/>
  <c r="P112" i="2"/>
  <c r="N112" i="2"/>
  <c r="M112" i="2"/>
  <c r="I112" i="2"/>
  <c r="Q112" i="2" s="1"/>
  <c r="R111" i="2"/>
  <c r="N111" i="2"/>
  <c r="M111" i="2"/>
  <c r="I111" i="2"/>
  <c r="N110" i="2"/>
  <c r="M110" i="2"/>
  <c r="I110" i="2"/>
  <c r="N109" i="2"/>
  <c r="M109" i="2"/>
  <c r="I109" i="2"/>
  <c r="R108" i="2"/>
  <c r="Q108" i="2"/>
  <c r="N108" i="2"/>
  <c r="M108" i="2"/>
  <c r="I108" i="2"/>
  <c r="P108" i="2" s="1"/>
  <c r="N107" i="2"/>
  <c r="M107" i="2"/>
  <c r="I107" i="2"/>
  <c r="Q106" i="2"/>
  <c r="N106" i="2"/>
  <c r="M106" i="2"/>
  <c r="I106" i="2"/>
  <c r="R105" i="2"/>
  <c r="N105" i="2"/>
  <c r="M105" i="2"/>
  <c r="I105" i="2"/>
  <c r="P105" i="2" s="1"/>
  <c r="Q104" i="2"/>
  <c r="N104" i="2"/>
  <c r="M104" i="2"/>
  <c r="I104" i="2"/>
  <c r="N103" i="2"/>
  <c r="M103" i="2"/>
  <c r="I103" i="2"/>
  <c r="Q102" i="2"/>
  <c r="N102" i="2"/>
  <c r="M102" i="2"/>
  <c r="I102" i="2"/>
  <c r="N101" i="2"/>
  <c r="M101" i="2"/>
  <c r="I101" i="2"/>
  <c r="Q100" i="2"/>
  <c r="N100" i="2"/>
  <c r="M100" i="2"/>
  <c r="I100" i="2"/>
  <c r="R99" i="2"/>
  <c r="Q99" i="2"/>
  <c r="N99" i="2"/>
  <c r="M99" i="2"/>
  <c r="I99" i="2"/>
  <c r="P99" i="2" s="1"/>
  <c r="R98" i="2"/>
  <c r="N98" i="2"/>
  <c r="M98" i="2"/>
  <c r="I98" i="2"/>
  <c r="P98" i="2" s="1"/>
  <c r="R97" i="2"/>
  <c r="Q97" i="2"/>
  <c r="N97" i="2"/>
  <c r="M97" i="2"/>
  <c r="I97" i="2"/>
  <c r="P97" i="2" s="1"/>
  <c r="R96" i="2"/>
  <c r="N96" i="2"/>
  <c r="M96" i="2"/>
  <c r="I96" i="2"/>
  <c r="P96" i="2" s="1"/>
  <c r="N95" i="2"/>
  <c r="M95" i="2"/>
  <c r="I95" i="2"/>
  <c r="N94" i="2"/>
  <c r="M94" i="2"/>
  <c r="I94" i="2"/>
  <c r="N93" i="2"/>
  <c r="M93" i="2"/>
  <c r="I93" i="2"/>
  <c r="N92" i="2"/>
  <c r="M92" i="2"/>
  <c r="I92" i="2"/>
  <c r="R91" i="2"/>
  <c r="Q91" i="2"/>
  <c r="N91" i="2"/>
  <c r="M91" i="2"/>
  <c r="I91" i="2"/>
  <c r="P91" i="2" s="1"/>
  <c r="R90" i="2"/>
  <c r="Q90" i="2"/>
  <c r="N90" i="2"/>
  <c r="M90" i="2"/>
  <c r="I90" i="2"/>
  <c r="P90" i="2" s="1"/>
  <c r="R89" i="2"/>
  <c r="N89" i="2"/>
  <c r="M89" i="2"/>
  <c r="I89" i="2"/>
  <c r="P89" i="2" s="1"/>
  <c r="Q88" i="2"/>
  <c r="N88" i="2"/>
  <c r="M88" i="2"/>
  <c r="I88" i="2"/>
  <c r="R87" i="2"/>
  <c r="N87" i="2"/>
  <c r="M87" i="2"/>
  <c r="I87" i="2"/>
  <c r="P87" i="2" s="1"/>
  <c r="N86" i="2"/>
  <c r="M86" i="2"/>
  <c r="I86" i="2"/>
  <c r="N85" i="2"/>
  <c r="M85" i="2"/>
  <c r="I85" i="2"/>
  <c r="N84" i="2"/>
  <c r="M84" i="2"/>
  <c r="I84" i="2"/>
  <c r="N83" i="2"/>
  <c r="M83" i="2"/>
  <c r="I83" i="2"/>
  <c r="R82" i="2"/>
  <c r="Q82" i="2"/>
  <c r="N82" i="2"/>
  <c r="M82" i="2"/>
  <c r="I82" i="2"/>
  <c r="P82" i="2" s="1"/>
  <c r="Q81" i="2"/>
  <c r="N81" i="2"/>
  <c r="M81" i="2"/>
  <c r="I81" i="2"/>
  <c r="Q80" i="2"/>
  <c r="N80" i="2"/>
  <c r="M80" i="2"/>
  <c r="I80" i="2"/>
  <c r="Q79" i="2"/>
  <c r="N79" i="2"/>
  <c r="M79" i="2"/>
  <c r="I79" i="2"/>
  <c r="Q78" i="2"/>
  <c r="N78" i="2"/>
  <c r="M78" i="2"/>
  <c r="I78" i="2"/>
  <c r="Q77" i="2"/>
  <c r="N77" i="2"/>
  <c r="M77" i="2"/>
  <c r="I77" i="2"/>
  <c r="R76" i="2"/>
  <c r="N76" i="2"/>
  <c r="M76" i="2"/>
  <c r="I76" i="2"/>
  <c r="P76" i="2" s="1"/>
  <c r="R75" i="2"/>
  <c r="Q75" i="2"/>
  <c r="N75" i="2"/>
  <c r="M75" i="2"/>
  <c r="I75" i="2"/>
  <c r="P75" i="2" s="1"/>
  <c r="R74" i="2"/>
  <c r="N74" i="2"/>
  <c r="M74" i="2"/>
  <c r="I74" i="2"/>
  <c r="P74" i="2" s="1"/>
  <c r="N73" i="2"/>
  <c r="M73" i="2"/>
  <c r="I73" i="2"/>
  <c r="N72" i="2"/>
  <c r="M72" i="2"/>
  <c r="I72" i="2"/>
  <c r="N71" i="2"/>
  <c r="M71" i="2"/>
  <c r="I71" i="2"/>
  <c r="N70" i="2"/>
  <c r="M70" i="2"/>
  <c r="I70" i="2"/>
  <c r="N69" i="2"/>
  <c r="M69" i="2"/>
  <c r="I69" i="2"/>
  <c r="N68" i="2"/>
  <c r="M68" i="2"/>
  <c r="I68" i="2"/>
  <c r="N67" i="2"/>
  <c r="M67" i="2"/>
  <c r="I67" i="2"/>
  <c r="N66" i="2"/>
  <c r="M66" i="2"/>
  <c r="I66" i="2"/>
  <c r="R65" i="2"/>
  <c r="Q65" i="2"/>
  <c r="N65" i="2"/>
  <c r="M65" i="2"/>
  <c r="I65" i="2"/>
  <c r="P65" i="2" s="1"/>
  <c r="R64" i="2"/>
  <c r="Q64" i="2"/>
  <c r="N64" i="2"/>
  <c r="M64" i="2"/>
  <c r="I64" i="2"/>
  <c r="P64" i="2" s="1"/>
  <c r="N63" i="2"/>
  <c r="M63" i="2"/>
  <c r="I63" i="2"/>
  <c r="Q62" i="2"/>
  <c r="N62" i="2"/>
  <c r="M62" i="2"/>
  <c r="I62" i="2"/>
  <c r="N61" i="2"/>
  <c r="M61" i="2"/>
  <c r="I61" i="2"/>
  <c r="Q60" i="2"/>
  <c r="N60" i="2"/>
  <c r="M60" i="2"/>
  <c r="I60" i="2"/>
  <c r="N59" i="2"/>
  <c r="M59" i="2"/>
  <c r="I59" i="2"/>
  <c r="R58" i="2"/>
  <c r="Q58" i="2"/>
  <c r="N58" i="2"/>
  <c r="M58" i="2"/>
  <c r="I58" i="2"/>
  <c r="P58" i="2" s="1"/>
  <c r="N57" i="2"/>
  <c r="M57" i="2"/>
  <c r="I57" i="2"/>
  <c r="Q57" i="2" s="1"/>
  <c r="Q56" i="2"/>
  <c r="N56" i="2"/>
  <c r="M56" i="2"/>
  <c r="I56" i="2"/>
  <c r="R55" i="2"/>
  <c r="N55" i="2"/>
  <c r="M55" i="2"/>
  <c r="I55" i="2"/>
  <c r="P55" i="2" s="1"/>
  <c r="N54" i="2"/>
  <c r="M54" i="2"/>
  <c r="I54" i="2"/>
  <c r="N53" i="2"/>
  <c r="M53" i="2"/>
  <c r="I53" i="2"/>
  <c r="N52" i="2"/>
  <c r="M52" i="2"/>
  <c r="I52" i="2"/>
  <c r="N51" i="2"/>
  <c r="M51" i="2"/>
  <c r="I51" i="2"/>
  <c r="R50" i="2"/>
  <c r="Q50" i="2"/>
  <c r="N50" i="2"/>
  <c r="M50" i="2"/>
  <c r="I50" i="2"/>
  <c r="P50" i="2" s="1"/>
  <c r="Q49" i="2"/>
  <c r="O49" i="2"/>
  <c r="N49" i="2"/>
  <c r="M49" i="2"/>
  <c r="I49" i="2"/>
  <c r="R49" i="2" s="1"/>
  <c r="R48" i="2"/>
  <c r="Q48" i="2"/>
  <c r="N48" i="2"/>
  <c r="O48" i="2" s="1"/>
  <c r="S48" i="2" s="1"/>
  <c r="M48" i="2"/>
  <c r="I48" i="2"/>
  <c r="P48" i="2" s="1"/>
  <c r="Q47" i="2"/>
  <c r="O47" i="2"/>
  <c r="N47" i="2"/>
  <c r="M47" i="2"/>
  <c r="I47" i="2"/>
  <c r="R47" i="2" s="1"/>
  <c r="Q46" i="2"/>
  <c r="N46" i="2"/>
  <c r="M46" i="2"/>
  <c r="O46" i="2" s="1"/>
  <c r="I46" i="2"/>
  <c r="R46" i="2" s="1"/>
  <c r="R45" i="2"/>
  <c r="Q45" i="2"/>
  <c r="N45" i="2"/>
  <c r="M45" i="2"/>
  <c r="O45" i="2" s="1"/>
  <c r="S45" i="2" s="1"/>
  <c r="I45" i="2"/>
  <c r="P45" i="2" s="1"/>
  <c r="Q44" i="2"/>
  <c r="O44" i="2"/>
  <c r="N44" i="2"/>
  <c r="M44" i="2"/>
  <c r="I44" i="2"/>
  <c r="R44" i="2" s="1"/>
  <c r="R43" i="2"/>
  <c r="Q43" i="2"/>
  <c r="N43" i="2"/>
  <c r="O43" i="2" s="1"/>
  <c r="S43" i="2" s="1"/>
  <c r="M43" i="2"/>
  <c r="I43" i="2"/>
  <c r="P43" i="2" s="1"/>
  <c r="Q42" i="2"/>
  <c r="O42" i="2"/>
  <c r="N42" i="2"/>
  <c r="M42" i="2"/>
  <c r="I42" i="2"/>
  <c r="R42" i="2" s="1"/>
  <c r="R41" i="2"/>
  <c r="Q41" i="2"/>
  <c r="N41" i="2"/>
  <c r="O41" i="2" s="1"/>
  <c r="S41" i="2" s="1"/>
  <c r="M41" i="2"/>
  <c r="I41" i="2"/>
  <c r="P41" i="2" s="1"/>
  <c r="Q40" i="2"/>
  <c r="N40" i="2"/>
  <c r="M40" i="2"/>
  <c r="O40" i="2" s="1"/>
  <c r="I40" i="2"/>
  <c r="R40" i="2" s="1"/>
  <c r="Q39" i="2"/>
  <c r="O39" i="2"/>
  <c r="N39" i="2"/>
  <c r="M39" i="2"/>
  <c r="I39" i="2"/>
  <c r="R39" i="2" s="1"/>
  <c r="R38" i="2"/>
  <c r="Q38" i="2"/>
  <c r="N38" i="2"/>
  <c r="O38" i="2" s="1"/>
  <c r="S38" i="2" s="1"/>
  <c r="M38" i="2"/>
  <c r="I38" i="2"/>
  <c r="P38" i="2" s="1"/>
  <c r="R37" i="2"/>
  <c r="Q37" i="2"/>
  <c r="N37" i="2"/>
  <c r="M37" i="2"/>
  <c r="O37" i="2" s="1"/>
  <c r="S37" i="2" s="1"/>
  <c r="I37" i="2"/>
  <c r="P37" i="2" s="1"/>
  <c r="R36" i="2"/>
  <c r="Q36" i="2"/>
  <c r="O36" i="2"/>
  <c r="S36" i="2" s="1"/>
  <c r="N36" i="2"/>
  <c r="M36" i="2"/>
  <c r="I36" i="2"/>
  <c r="P36" i="2" s="1"/>
  <c r="R35" i="2"/>
  <c r="Q35" i="2"/>
  <c r="N35" i="2"/>
  <c r="M35" i="2"/>
  <c r="O35" i="2" s="1"/>
  <c r="S35" i="2" s="1"/>
  <c r="I35" i="2"/>
  <c r="P35" i="2" s="1"/>
  <c r="R34" i="2"/>
  <c r="Q34" i="2"/>
  <c r="N34" i="2"/>
  <c r="M34" i="2"/>
  <c r="O34" i="2" s="1"/>
  <c r="S34" i="2" s="1"/>
  <c r="I34" i="2"/>
  <c r="P34" i="2" s="1"/>
  <c r="R33" i="2"/>
  <c r="Q33" i="2"/>
  <c r="N33" i="2"/>
  <c r="M33" i="2"/>
  <c r="O33" i="2" s="1"/>
  <c r="S33" i="2" s="1"/>
  <c r="I33" i="2"/>
  <c r="P33" i="2" s="1"/>
  <c r="R32" i="2"/>
  <c r="Q32" i="2"/>
  <c r="N32" i="2"/>
  <c r="M32" i="2"/>
  <c r="O32" i="2" s="1"/>
  <c r="S32" i="2" s="1"/>
  <c r="I32" i="2"/>
  <c r="P32" i="2" s="1"/>
  <c r="R31" i="2"/>
  <c r="Q31" i="2"/>
  <c r="O31" i="2"/>
  <c r="S31" i="2" s="1"/>
  <c r="N31" i="2"/>
  <c r="M31" i="2"/>
  <c r="I31" i="2"/>
  <c r="P31" i="2" s="1"/>
  <c r="R30" i="2"/>
  <c r="Q30" i="2"/>
  <c r="N30" i="2"/>
  <c r="O30" i="2" s="1"/>
  <c r="S30" i="2" s="1"/>
  <c r="M30" i="2"/>
  <c r="I30" i="2"/>
  <c r="P30" i="2" s="1"/>
  <c r="R29" i="2"/>
  <c r="Q29" i="2"/>
  <c r="N29" i="2"/>
  <c r="M29" i="2"/>
  <c r="O29" i="2" s="1"/>
  <c r="S29" i="2" s="1"/>
  <c r="I29" i="2"/>
  <c r="P29" i="2" s="1"/>
  <c r="R28" i="2"/>
  <c r="O28" i="2"/>
  <c r="N28" i="2"/>
  <c r="M28" i="2"/>
  <c r="I28" i="2"/>
  <c r="P28" i="2" s="1"/>
  <c r="R27" i="2"/>
  <c r="N27" i="2"/>
  <c r="M27" i="2"/>
  <c r="O27" i="2" s="1"/>
  <c r="I27" i="2"/>
  <c r="P27" i="2" s="1"/>
  <c r="R26" i="2"/>
  <c r="N26" i="2"/>
  <c r="M26" i="2"/>
  <c r="O26" i="2" s="1"/>
  <c r="I26" i="2"/>
  <c r="P26" i="2" s="1"/>
  <c r="R25" i="2"/>
  <c r="N25" i="2"/>
  <c r="M25" i="2"/>
  <c r="O25" i="2" s="1"/>
  <c r="I25" i="2"/>
  <c r="P25" i="2" s="1"/>
  <c r="R24" i="2"/>
  <c r="Q24" i="2"/>
  <c r="N24" i="2"/>
  <c r="M24" i="2"/>
  <c r="O24" i="2" s="1"/>
  <c r="S24" i="2" s="1"/>
  <c r="I24" i="2"/>
  <c r="P24" i="2" s="1"/>
  <c r="Q23" i="2"/>
  <c r="O23" i="2"/>
  <c r="N23" i="2"/>
  <c r="M23" i="2"/>
  <c r="I23" i="2"/>
  <c r="P23" i="2" s="1"/>
  <c r="R22" i="2"/>
  <c r="Q22" i="2"/>
  <c r="N22" i="2"/>
  <c r="O22" i="2" s="1"/>
  <c r="S22" i="2" s="1"/>
  <c r="M22" i="2"/>
  <c r="I22" i="2"/>
  <c r="P22" i="2" s="1"/>
  <c r="Q21" i="2"/>
  <c r="N21" i="2"/>
  <c r="M21" i="2"/>
  <c r="O21" i="2" s="1"/>
  <c r="I21" i="2"/>
  <c r="P21" i="2" s="1"/>
  <c r="O20" i="2"/>
  <c r="N20" i="2"/>
  <c r="M20" i="2"/>
  <c r="I20" i="2"/>
  <c r="P20" i="2" s="1"/>
  <c r="N19" i="2"/>
  <c r="M19" i="2"/>
  <c r="O19" i="2" s="1"/>
  <c r="I19" i="2"/>
  <c r="P19" i="2" s="1"/>
  <c r="R18" i="2"/>
  <c r="N18" i="2"/>
  <c r="M18" i="2"/>
  <c r="O18" i="2" s="1"/>
  <c r="I18" i="2"/>
  <c r="P18" i="2" s="1"/>
  <c r="R17" i="2"/>
  <c r="N17" i="2"/>
  <c r="M17" i="2"/>
  <c r="O17" i="2" s="1"/>
  <c r="I17" i="2"/>
  <c r="P17" i="2" s="1"/>
  <c r="R16" i="2"/>
  <c r="Q16" i="2"/>
  <c r="N16" i="2"/>
  <c r="M16" i="2"/>
  <c r="O16" i="2" s="1"/>
  <c r="S16" i="2" s="1"/>
  <c r="I16" i="2"/>
  <c r="P16" i="2" s="1"/>
  <c r="R15" i="2"/>
  <c r="Q15" i="2"/>
  <c r="O15" i="2"/>
  <c r="S15" i="2" s="1"/>
  <c r="N15" i="2"/>
  <c r="M15" i="2"/>
  <c r="I15" i="2"/>
  <c r="P15" i="2" s="1"/>
  <c r="R14" i="2"/>
  <c r="Q14" i="2"/>
  <c r="N14" i="2"/>
  <c r="O14" i="2" s="1"/>
  <c r="S14" i="2" s="1"/>
  <c r="M14" i="2"/>
  <c r="I14" i="2"/>
  <c r="P14" i="2" s="1"/>
  <c r="R13" i="2"/>
  <c r="Q13" i="2"/>
  <c r="N13" i="2"/>
  <c r="M13" i="2"/>
  <c r="O13" i="2" s="1"/>
  <c r="S13" i="2" s="1"/>
  <c r="I13" i="2"/>
  <c r="P13" i="2" s="1"/>
  <c r="R12" i="2"/>
  <c r="O12" i="2"/>
  <c r="N12" i="2"/>
  <c r="M12" i="2"/>
  <c r="I12" i="2"/>
  <c r="P12" i="2" s="1"/>
  <c r="R11" i="2"/>
  <c r="N11" i="2"/>
  <c r="M11" i="2"/>
  <c r="O11" i="2" s="1"/>
  <c r="I11" i="2"/>
  <c r="P11" i="2" s="1"/>
  <c r="R10" i="2"/>
  <c r="N10" i="2"/>
  <c r="M10" i="2"/>
  <c r="O10" i="2" s="1"/>
  <c r="I10" i="2"/>
  <c r="P10" i="2" s="1"/>
  <c r="R9" i="2"/>
  <c r="N9" i="2"/>
  <c r="M9" i="2"/>
  <c r="O9" i="2" s="1"/>
  <c r="I9" i="2"/>
  <c r="P9" i="2" s="1"/>
  <c r="R8" i="2"/>
  <c r="Q8" i="2"/>
  <c r="N8" i="2"/>
  <c r="M8" i="2"/>
  <c r="O8" i="2" s="1"/>
  <c r="S8" i="2" s="1"/>
  <c r="I8" i="2"/>
  <c r="P8" i="2" s="1"/>
  <c r="R7" i="2"/>
  <c r="Q7" i="2"/>
  <c r="N7" i="2"/>
  <c r="M7" i="2"/>
  <c r="O7" i="2" s="1"/>
  <c r="I7" i="2"/>
  <c r="P7" i="2" s="1"/>
  <c r="Q6" i="2"/>
  <c r="N6" i="2"/>
  <c r="M6" i="2"/>
  <c r="O6" i="2" s="1"/>
  <c r="I6" i="2"/>
  <c r="R6" i="2" s="1"/>
  <c r="Q5" i="2"/>
  <c r="N5" i="2"/>
  <c r="M5" i="2"/>
  <c r="O5" i="2" s="1"/>
  <c r="I5" i="2"/>
  <c r="R5" i="2" s="1"/>
  <c r="C6" i="4" l="1"/>
  <c r="S7" i="2"/>
  <c r="S9" i="2"/>
  <c r="R52" i="2"/>
  <c r="P52" i="2"/>
  <c r="P54" i="2"/>
  <c r="R54" i="2"/>
  <c r="P86" i="2"/>
  <c r="R86" i="2"/>
  <c r="Q11" i="2"/>
  <c r="C5" i="5" s="1"/>
  <c r="P5" i="2"/>
  <c r="S5" i="2" s="1"/>
  <c r="P6" i="2"/>
  <c r="S6" i="2" s="1"/>
  <c r="Q9" i="2"/>
  <c r="Q17" i="2"/>
  <c r="S17" i="2" s="1"/>
  <c r="Q25" i="2"/>
  <c r="S25" i="2" s="1"/>
  <c r="R51" i="2"/>
  <c r="P51" i="2"/>
  <c r="R53" i="2"/>
  <c r="P53" i="2"/>
  <c r="P66" i="2"/>
  <c r="R66" i="2"/>
  <c r="R68" i="2"/>
  <c r="P68" i="2"/>
  <c r="P70" i="2"/>
  <c r="R70" i="2"/>
  <c r="R72" i="2"/>
  <c r="P72" i="2"/>
  <c r="R83" i="2"/>
  <c r="P83" i="2"/>
  <c r="R85" i="2"/>
  <c r="P85" i="2"/>
  <c r="R92" i="2"/>
  <c r="P92" i="2"/>
  <c r="P94" i="2"/>
  <c r="R94" i="2"/>
  <c r="R101" i="2"/>
  <c r="P101" i="2"/>
  <c r="R103" i="2"/>
  <c r="P103" i="2"/>
  <c r="R57" i="2"/>
  <c r="P57" i="2"/>
  <c r="R107" i="2"/>
  <c r="P107" i="2"/>
  <c r="R59" i="2"/>
  <c r="P59" i="2"/>
  <c r="R61" i="2"/>
  <c r="P61" i="2"/>
  <c r="R63" i="2"/>
  <c r="P63" i="2"/>
  <c r="R109" i="2"/>
  <c r="P109" i="2"/>
  <c r="Q111" i="2"/>
  <c r="P111" i="2"/>
  <c r="R23" i="2"/>
  <c r="S23" i="2" s="1"/>
  <c r="Q51" i="2"/>
  <c r="Q53" i="2"/>
  <c r="Q55" i="2"/>
  <c r="C6" i="5" s="1"/>
  <c r="Q66" i="2"/>
  <c r="Q68" i="2"/>
  <c r="Q70" i="2"/>
  <c r="Q72" i="2"/>
  <c r="Q74" i="2"/>
  <c r="P78" i="2"/>
  <c r="R78" i="2"/>
  <c r="R80" i="2"/>
  <c r="P80" i="2"/>
  <c r="Q83" i="2"/>
  <c r="Q85" i="2"/>
  <c r="Q87" i="2"/>
  <c r="Q92" i="2"/>
  <c r="Q94" i="2"/>
  <c r="Q96" i="2"/>
  <c r="Q101" i="2"/>
  <c r="Q103" i="2"/>
  <c r="Q105" i="2"/>
  <c r="B13" i="7"/>
  <c r="B19" i="7"/>
  <c r="B14" i="7"/>
  <c r="R100" i="2"/>
  <c r="P100" i="2"/>
  <c r="P102" i="2"/>
  <c r="R102" i="2"/>
  <c r="R104" i="2"/>
  <c r="P104" i="2"/>
  <c r="Q107" i="2"/>
  <c r="R84" i="2"/>
  <c r="P84" i="2"/>
  <c r="Q89" i="2"/>
  <c r="R93" i="2"/>
  <c r="P93" i="2"/>
  <c r="Q12" i="2"/>
  <c r="S12" i="2" s="1"/>
  <c r="Q20" i="2"/>
  <c r="S20" i="2" s="1"/>
  <c r="R21" i="2"/>
  <c r="S21" i="2" s="1"/>
  <c r="Q28" i="2"/>
  <c r="S28" i="2" s="1"/>
  <c r="R56" i="2"/>
  <c r="P56" i="2"/>
  <c r="Q59" i="2"/>
  <c r="Q61" i="2"/>
  <c r="Q63" i="2"/>
  <c r="Q76" i="2"/>
  <c r="R88" i="2"/>
  <c r="P88" i="2"/>
  <c r="Q98" i="2"/>
  <c r="P106" i="2"/>
  <c r="R106" i="2"/>
  <c r="Q109" i="2"/>
  <c r="R67" i="2"/>
  <c r="P67" i="2"/>
  <c r="R71" i="2"/>
  <c r="P71" i="2"/>
  <c r="R95" i="2"/>
  <c r="P95" i="2"/>
  <c r="Q19" i="2"/>
  <c r="S19" i="2" s="1"/>
  <c r="Q27" i="2"/>
  <c r="S27" i="2" s="1"/>
  <c r="R60" i="2"/>
  <c r="P60" i="2"/>
  <c r="P62" i="2"/>
  <c r="R62" i="2"/>
  <c r="Q110" i="2"/>
  <c r="P110" i="2"/>
  <c r="R110" i="2"/>
  <c r="R69" i="2"/>
  <c r="P69" i="2"/>
  <c r="R73" i="2"/>
  <c r="P73" i="2"/>
  <c r="R20" i="2"/>
  <c r="Q10" i="2"/>
  <c r="S10" i="2" s="1"/>
  <c r="Q18" i="2"/>
  <c r="S18" i="2" s="1"/>
  <c r="R19" i="2"/>
  <c r="R115" i="2" s="1"/>
  <c r="Q26" i="2"/>
  <c r="S26" i="2" s="1"/>
  <c r="Q52" i="2"/>
  <c r="Q54" i="2"/>
  <c r="Q67" i="2"/>
  <c r="Q69" i="2"/>
  <c r="Q71" i="2"/>
  <c r="Q73" i="2"/>
  <c r="R77" i="2"/>
  <c r="P77" i="2"/>
  <c r="R79" i="2"/>
  <c r="P79" i="2"/>
  <c r="R81" i="2"/>
  <c r="P81" i="2"/>
  <c r="Q84" i="2"/>
  <c r="Q86" i="2"/>
  <c r="Q93" i="2"/>
  <c r="Q95" i="2"/>
  <c r="P39" i="2"/>
  <c r="S39" i="2" s="1"/>
  <c r="P40" i="2"/>
  <c r="S40" i="2" s="1"/>
  <c r="P42" i="2"/>
  <c r="S42" i="2" s="1"/>
  <c r="P44" i="2"/>
  <c r="S44" i="2" s="1"/>
  <c r="P46" i="2"/>
  <c r="S46" i="2" s="1"/>
  <c r="P47" i="2"/>
  <c r="S47" i="2" s="1"/>
  <c r="P49" i="2"/>
  <c r="S49" i="2" s="1"/>
  <c r="O52" i="2"/>
  <c r="S52" i="2" s="1"/>
  <c r="O56" i="2"/>
  <c r="O60" i="2"/>
  <c r="S60" i="2" s="1"/>
  <c r="O64" i="2"/>
  <c r="S64" i="2" s="1"/>
  <c r="O68" i="2"/>
  <c r="S68" i="2" s="1"/>
  <c r="O72" i="2"/>
  <c r="O76" i="2"/>
  <c r="S76" i="2" s="1"/>
  <c r="O80" i="2"/>
  <c r="S80" i="2" s="1"/>
  <c r="O84" i="2"/>
  <c r="S84" i="2" s="1"/>
  <c r="O88" i="2"/>
  <c r="S88" i="2" s="1"/>
  <c r="O92" i="2"/>
  <c r="O96" i="2"/>
  <c r="S96" i="2" s="1"/>
  <c r="O100" i="2"/>
  <c r="S100" i="2" s="1"/>
  <c r="O104" i="2"/>
  <c r="S104" i="2" s="1"/>
  <c r="O108" i="2"/>
  <c r="S108" i="2" s="1"/>
  <c r="O112" i="2"/>
  <c r="S112" i="2" s="1"/>
  <c r="P113" i="2"/>
  <c r="B18" i="8"/>
  <c r="B19" i="8"/>
  <c r="O51" i="2"/>
  <c r="C5" i="3" s="1"/>
  <c r="O55" i="2"/>
  <c r="O59" i="2"/>
  <c r="O63" i="2"/>
  <c r="S63" i="2" s="1"/>
  <c r="O67" i="2"/>
  <c r="S67" i="2" s="1"/>
  <c r="O71" i="2"/>
  <c r="S71" i="2" s="1"/>
  <c r="O75" i="2"/>
  <c r="S75" i="2" s="1"/>
  <c r="O79" i="2"/>
  <c r="S79" i="2" s="1"/>
  <c r="O83" i="2"/>
  <c r="S83" i="2" s="1"/>
  <c r="O87" i="2"/>
  <c r="S87" i="2" s="1"/>
  <c r="O91" i="2"/>
  <c r="S91" i="2" s="1"/>
  <c r="O95" i="2"/>
  <c r="S95" i="2" s="1"/>
  <c r="O99" i="2"/>
  <c r="S99" i="2" s="1"/>
  <c r="O103" i="2"/>
  <c r="O107" i="2"/>
  <c r="O111" i="2"/>
  <c r="S111" i="2" s="1"/>
  <c r="D7" i="8"/>
  <c r="F7" i="8" s="1"/>
  <c r="C18" i="8"/>
  <c r="O50" i="2"/>
  <c r="S50" i="2" s="1"/>
  <c r="O54" i="2"/>
  <c r="S54" i="2" s="1"/>
  <c r="O58" i="2"/>
  <c r="S58" i="2" s="1"/>
  <c r="O62" i="2"/>
  <c r="S62" i="2" s="1"/>
  <c r="O66" i="2"/>
  <c r="O70" i="2"/>
  <c r="S70" i="2" s="1"/>
  <c r="O74" i="2"/>
  <c r="S74" i="2" s="1"/>
  <c r="O78" i="2"/>
  <c r="S78" i="2" s="1"/>
  <c r="O82" i="2"/>
  <c r="S82" i="2" s="1"/>
  <c r="O86" i="2"/>
  <c r="S86" i="2" s="1"/>
  <c r="O90" i="2"/>
  <c r="S90" i="2" s="1"/>
  <c r="O94" i="2"/>
  <c r="O98" i="2"/>
  <c r="O102" i="2"/>
  <c r="O106" i="2"/>
  <c r="O110" i="2"/>
  <c r="O53" i="2"/>
  <c r="O57" i="2"/>
  <c r="S57" i="2" s="1"/>
  <c r="O61" i="2"/>
  <c r="S61" i="2" s="1"/>
  <c r="O65" i="2"/>
  <c r="S65" i="2" s="1"/>
  <c r="O69" i="2"/>
  <c r="O73" i="2"/>
  <c r="O77" i="2"/>
  <c r="O81" i="2"/>
  <c r="S81" i="2" s="1"/>
  <c r="O85" i="2"/>
  <c r="S85" i="2" s="1"/>
  <c r="O89" i="2"/>
  <c r="S89" i="2" s="1"/>
  <c r="O93" i="2"/>
  <c r="S93" i="2" s="1"/>
  <c r="O97" i="2"/>
  <c r="S97" i="2" s="1"/>
  <c r="O101" i="2"/>
  <c r="O105" i="2"/>
  <c r="S105" i="2" s="1"/>
  <c r="O109" i="2"/>
  <c r="O113" i="2"/>
  <c r="D18" i="8"/>
  <c r="B20" i="8" s="1"/>
  <c r="F5" i="8"/>
  <c r="D5" i="3" l="1"/>
  <c r="E5" i="3"/>
  <c r="D5" i="5"/>
  <c r="C7" i="5"/>
  <c r="B8" i="9" s="1"/>
  <c r="E5" i="5"/>
  <c r="E7" i="5" s="1"/>
  <c r="D6" i="5"/>
  <c r="E6" i="5"/>
  <c r="S94" i="2"/>
  <c r="S103" i="2"/>
  <c r="S11" i="2"/>
  <c r="S115" i="2" s="1"/>
  <c r="D6" i="4"/>
  <c r="E6" i="4"/>
  <c r="C6" i="3"/>
  <c r="C5" i="4"/>
  <c r="P115" i="2"/>
  <c r="B21" i="8"/>
  <c r="F20" i="8"/>
  <c r="B16" i="9"/>
  <c r="S53" i="2"/>
  <c r="S59" i="2"/>
  <c r="S72" i="2"/>
  <c r="C5" i="6"/>
  <c r="O115" i="2"/>
  <c r="Q115" i="2"/>
  <c r="S110" i="2"/>
  <c r="S55" i="2"/>
  <c r="S109" i="2"/>
  <c r="S77" i="2"/>
  <c r="S106" i="2"/>
  <c r="S51" i="2"/>
  <c r="S113" i="2"/>
  <c r="S102" i="2"/>
  <c r="S92" i="2"/>
  <c r="B10" i="9"/>
  <c r="E10" i="9" s="1"/>
  <c r="B21" i="7"/>
  <c r="D10" i="9" s="1"/>
  <c r="G10" i="9" s="1"/>
  <c r="B20" i="7"/>
  <c r="C10" i="9" s="1"/>
  <c r="F10" i="9" s="1"/>
  <c r="S73" i="2"/>
  <c r="S101" i="2"/>
  <c r="S69" i="2"/>
  <c r="S98" i="2"/>
  <c r="S66" i="2"/>
  <c r="S107" i="2"/>
  <c r="S56" i="2"/>
  <c r="D5" i="4" l="1"/>
  <c r="D7" i="4" s="1"/>
  <c r="C7" i="4"/>
  <c r="B7" i="9" s="1"/>
  <c r="E5" i="4"/>
  <c r="E7" i="4" s="1"/>
  <c r="D6" i="3"/>
  <c r="D7" i="3" s="1"/>
  <c r="E6" i="3"/>
  <c r="E7" i="3" s="1"/>
  <c r="E8" i="9"/>
  <c r="D8" i="9"/>
  <c r="G8" i="9" s="1"/>
  <c r="C8" i="9"/>
  <c r="F8" i="9" s="1"/>
  <c r="D7" i="5"/>
  <c r="B22" i="9"/>
  <c r="D16" i="9"/>
  <c r="C22" i="9" s="1"/>
  <c r="C7" i="3"/>
  <c r="B6" i="9" s="1"/>
  <c r="D5" i="6"/>
  <c r="B9" i="9"/>
  <c r="E5" i="6"/>
  <c r="F21" i="8"/>
  <c r="C16" i="9"/>
  <c r="E9" i="9" l="1"/>
  <c r="D9" i="9"/>
  <c r="G9" i="9" s="1"/>
  <c r="C9" i="9"/>
  <c r="F9" i="9" s="1"/>
  <c r="B11" i="9"/>
  <c r="E6" i="9"/>
  <c r="E11" i="9" s="1"/>
  <c r="D6" i="9"/>
  <c r="C6" i="9"/>
  <c r="D7" i="9"/>
  <c r="G7" i="9" s="1"/>
  <c r="C7" i="9"/>
  <c r="F7" i="9" s="1"/>
  <c r="E7" i="9"/>
  <c r="E16" i="9"/>
  <c r="C23" i="9" s="1"/>
  <c r="B23" i="9"/>
  <c r="D11" i="9" l="1"/>
  <c r="D23" i="9" s="1"/>
  <c r="G6" i="9"/>
  <c r="G11" i="9" s="1"/>
  <c r="E23" i="9" s="1"/>
  <c r="C11" i="9"/>
  <c r="D22" i="9" s="1"/>
  <c r="F6" i="9"/>
  <c r="F11" i="9" s="1"/>
  <c r="E22" i="9" s="1"/>
</calcChain>
</file>

<file path=xl/sharedStrings.xml><?xml version="1.0" encoding="utf-8"?>
<sst xmlns="http://schemas.openxmlformats.org/spreadsheetml/2006/main" count="1402" uniqueCount="504">
  <si>
    <t>Cosec Azure → AWS Migration — TCO Model</t>
  </si>
  <si>
    <t>Prepared by Minfy Technologies | AWS Premier Partner | Region: AWS Frankfurt (eu-central-1) Primary, AWS Ireland (eu-west-1) DR</t>
  </si>
  <si>
    <t>REGION &amp; DR</t>
  </si>
  <si>
    <t>Primary region</t>
  </si>
  <si>
    <t>AWS Frankfurt (eu-central-1) — replaces current Azure North Europe (Dublin) production</t>
  </si>
  <si>
    <t>DR region</t>
  </si>
  <si>
    <t>AWS Ireland (eu-west-1) via AWS DRS — 64 Production-environment servers (excludes shared Dev/Test/Prod utility servers)</t>
  </si>
  <si>
    <t>MIGRATION STRATEGY</t>
  </si>
  <si>
    <t>Approach</t>
  </si>
  <si>
    <t>Lift-and-shift for all servers, EXCEPT SQL Server consolidation (see below)</t>
  </si>
  <si>
    <t>SQL Server consolidation</t>
  </si>
  <si>
    <t>6 SQL Server VMs consolidated to 4 right-sized target instances, based on utilization data. Recommended for validation by the database administration team, as per-database IOPS and growth data were not available during sizing.</t>
  </si>
  <si>
    <t>Instance family</t>
  </si>
  <si>
    <t>AMD-based instance families throughout: m6a / r6a / c6a for general workloads, m7a for the new Active Directory Domain Controllers</t>
  </si>
  <si>
    <t>Additional AD Domain Controllers</t>
  </si>
  <si>
    <t>2 new EC2 instances added for Active Directory, in addition to SCDPT01/SCDPT02 already in migration scope. Sized as m7a.2xlarge (8 vCPU / 32 GB).</t>
  </si>
  <si>
    <t>RHEL servers</t>
  </si>
  <si>
    <t>Treated as generic Linux; RHEL subscription is BYOL — no additional OS subscription cost modeled</t>
  </si>
  <si>
    <t>SQL Server licensing</t>
  </si>
  <si>
    <t>BYOL — no SQL Server license cost modeled</t>
  </si>
  <si>
    <t>PURCHASING MODEL</t>
  </si>
  <si>
    <t>Production + shared 'Prod/UAT/Dev' servers</t>
  </si>
  <si>
    <t>3-Year No Upfront (CSP) — always-on, 730 hrs/month</t>
  </si>
  <si>
    <t>UAT + Dev servers</t>
  </si>
  <si>
    <t>On-Demand, 12 hours/day x 5 days/week = 260 hrs/month</t>
  </si>
  <si>
    <t>Support plan</t>
  </si>
  <si>
    <t>None modeled</t>
  </si>
  <si>
    <t>EDP / Credits</t>
  </si>
  <si>
    <t>SCOPE</t>
  </si>
  <si>
    <t>Source of scope</t>
  </si>
  <si>
    <t>Migration_Waves_v1.xlsx (authoritative, supersedes earlier working lists)</t>
  </si>
  <si>
    <t>In-scope servers</t>
  </si>
  <si>
    <t>110 servers per the migration wave plan, consolidated to 108 compute instances (SQL Server consolidation) plus 2 new Active Directory Domain Controllers = 110 total compute instances</t>
  </si>
  <si>
    <t>Excluded from cost model</t>
  </si>
  <si>
    <t>Windows XP fleet (MAPAS x7 + pt5533vmXP-test + pt6202vm-test), NOTESMAIL01, SERVIMP, servimp10g-test, checkpoint firewall cluster, and other servers not present in Migration Waves file — not costed in this model</t>
  </si>
  <si>
    <t>Oracle-upgrade-dependent servers (14)</t>
  </si>
  <si>
    <t>Included in cost; sequenced as LAST migration wave in the roadmap (does not change 3-year cost total, only timing/phasing)</t>
  </si>
  <si>
    <t>BACKUP (AWS Backup)</t>
  </si>
  <si>
    <t>Production</t>
  </si>
  <si>
    <t>Daily backup, 30-day retention</t>
  </si>
  <si>
    <t>UAT</t>
  </si>
  <si>
    <t>Weekly backup, 1-month retention</t>
  </si>
  <si>
    <t>Dev</t>
  </si>
  <si>
    <t>Weekly backup, 1-month retention (aligned with UAT policy)</t>
  </si>
  <si>
    <t>NETWORK</t>
  </si>
  <si>
    <t>Transit Gateway</t>
  </si>
  <si>
    <t>4 attachments, 100 GB/month data transfer each</t>
  </si>
  <si>
    <t>AZURE BASELINE</t>
  </si>
  <si>
    <t>Composition</t>
  </si>
  <si>
    <t>Azure infrastructure cost only. Managed Services (a separate vendor/IMS cost) is excluded, as it is not comparable to AWS infrastructure spend and would not be replaced 1:1 by the AWS migration.</t>
  </si>
  <si>
    <t>Known actuals</t>
  </si>
  <si>
    <t>December 2025 and January 2026 only (invoicing gap from February 2026 due to a tenant-to-branch transition)</t>
  </si>
  <si>
    <t>Remaining months (Feb-Dec 2026)</t>
  </si>
  <si>
    <t>Held flat at the average of the two known months. This is a modeling assumption, not actual billing data, and should be refreshed once further invoices are available.</t>
  </si>
  <si>
    <t>DATA QUALITY NOTES</t>
  </si>
  <si>
    <t>Memory utilization data</t>
  </si>
  <si>
    <t>Two source tabs (Final Report-06-04-26, COSEC_VM_Metrics) contained negative MemUsed values — an export artifact. The 'Final Report As per 21-04' tab was used instead as the authoritative, internally-consistent source.</t>
  </si>
  <si>
    <t>SSAGEPeople / SSAGESEI vCPU</t>
  </si>
  <si>
    <t>Not present in any discovery export. Inferred as 8 vCPU based on comparable Sage systems (D8s_v4 class, 32 GB RAM confirmed). Recommended for validation with the infrastructure team prior to final sign-off.</t>
  </si>
  <si>
    <t>PRICING DISCLAIMER</t>
  </si>
  <si>
    <t>AWS pricing used in this model</t>
  </si>
  <si>
    <t>EC2, storage, backup, DRS, network, and FX rates have been verified against the AWS Pricing Calculator and current CSP rate card (see Pricing Inputs tab, green-highlighted cells). Remaining modeling assumptions (DRS staging percentage, backup storage multipliers, hours-per-month) are methodology choices rather than market rates and remain open for review.</t>
  </si>
  <si>
    <t>RIGHT-SIZING METHODOLOGY</t>
  </si>
  <si>
    <t>Moderate right-sizing applied to the 104 lift-and-shift instances (SQL consolidation and new AD DCs sized separately). Candidate instances include the original AMD family plus r6a.large as a lower-vCPU alternative where memory need is met at a lower vCPU count.</t>
  </si>
  <si>
    <t>CPU sizing</t>
  </si>
  <si>
    <t>Target vCPU = CEILING(Avg CPU% x current vCPU x 4), capped so it never exceeds the current lift-and-shift spec. Average CPU is sourced from the agent-based discovery export (current Azure environment), which reads consistently higher than the Azure Monitor platform metrics used earlier and is treated as the more conservative, and more current, basis.</t>
  </si>
  <si>
    <t>RAM sizing</t>
  </si>
  <si>
    <t>Target RAM = Avg RAM used (GB) x 1.75, capped so it never exceeds the current lift-and-shift spec. Average RAM is cross-validated between the two data sources (correlation 0.995), so either source is equally reliable for this input.</t>
  </si>
  <si>
    <t>Constraint</t>
  </si>
  <si>
    <t>No instance is sized above its lift-and-shift baseline.</t>
  </si>
  <si>
    <t>Result</t>
  </si>
  <si>
    <t>30 of 104 instances downsized; 21 moved from m6a.xlarge to r6a.large (same RAM, half the vCPU), 9 moved down within the m6a family. The remaining 74 were already at their best-fit size on this more conservative basis.</t>
  </si>
  <si>
    <t>Where to look</t>
  </si>
  <si>
    <t>Server Inventory tab, columns U-Z (Right-Sized Instance / vCPU / RAM / Note / DRS Eligibility / Utilization Data Source). Changed rows highlighted green.</t>
  </si>
  <si>
    <t>COST MODEL REFINEMENTS (VERSION 2)</t>
  </si>
  <si>
    <t>AD Domain Controllers</t>
  </si>
  <si>
    <t>Active Directory Domain Controllers sized as m7a.2xlarge (8 vCPU / 32 GB, 7th-generation AMD), x2.</t>
  </si>
  <si>
    <t>DRS server count</t>
  </si>
  <si>
    <t>DRS scope refined to 64 servers (Production-environment tag only), excluding the 20 shared Dev/Test/Production utility servers, reflecting the current migration wave plan.</t>
  </si>
  <si>
    <t>AWS Backup</t>
  </si>
  <si>
    <t>AWS Backup retained as a distinct line item, separate from underlying EBS snapshot costs, to reflect full-featured managed backup (policy-based retention, cross-region copy capability, centralized management).</t>
  </si>
  <si>
    <t>General app-server right-sizing</t>
  </si>
  <si>
    <t>General application server sizing expanded to include r6a.large (2 vCPU / 16 GB) as an alternative to m6a.xlarge (4 vCPU / 16 GB) where memory requirements are met at a lower vCPU count.</t>
  </si>
  <si>
    <t>Network</t>
  </si>
  <si>
    <t>Added a dedicated Transit Gateway cross-region attachment for DR replication traffic between Frankfurt and Ireland ($38.50/month).</t>
  </si>
  <si>
    <t>UTILIZATION DATA SOURCE</t>
  </si>
  <si>
    <t>Two independent sources</t>
  </si>
  <si>
    <t>An earlier agent-based discovery export and a later Azure-native export both cover the current Azure environment. Memory utilization is nearly identical between the two (correlation 0.995); CPU averages differ systematically, with the agent-based export reading roughly 2-3x higher on average across the fleet.</t>
  </si>
  <si>
    <t>Source used for sizing</t>
  </si>
  <si>
    <t>The agent-based discovery export's CPU averages are used as the primary basis for right-sizing, as the more recent and more conservative of the two. The Azure-native export's figures are used only for the 4 servers not present in the agent-based export.</t>
  </si>
  <si>
    <t>Effect</t>
  </si>
  <si>
    <t>This produced a smaller reduction in instance sizes (30 of 104 instances downsized) than the alternative basis would have (70 of 104), trading some compute savings for a larger safety margin.</t>
  </si>
  <si>
    <t>Server Inventory &amp; Monthly Cost Detail (110 instances)</t>
  </si>
  <si>
    <t>One row per target AWS instance. Compute/Storage/Backup/DRS costs computed via formula from Pricing Inputs tab.</t>
  </si>
  <si>
    <t>#</t>
  </si>
  <si>
    <t>VM Name / Target</t>
  </si>
  <si>
    <t>Environment</t>
  </si>
  <si>
    <t>Azure SKU (source)</t>
  </si>
  <si>
    <t>Azure vCPU</t>
  </si>
  <si>
    <t>Azure RAM (GB)</t>
  </si>
  <si>
    <t>OS Disk (GB)</t>
  </si>
  <si>
    <t>Data Disk (GB)</t>
  </si>
  <si>
    <t>Total Disk (GB)</t>
  </si>
  <si>
    <t>OS Type</t>
  </si>
  <si>
    <t>Target AWS Instance</t>
  </si>
  <si>
    <t>Purchase Model</t>
  </si>
  <si>
    <t>Monthly Hours</t>
  </si>
  <si>
    <t>Hourly Rate ($)</t>
  </si>
  <si>
    <t>Monthly Compute ($)</t>
  </si>
  <si>
    <t>Monthly Storage ($)</t>
  </si>
  <si>
    <t>Monthly Backup ($)</t>
  </si>
  <si>
    <t>Monthly DRS ($)</t>
  </si>
  <si>
    <t>Total Monthly ($)</t>
  </si>
  <si>
    <t>Notes</t>
  </si>
  <si>
    <t>Right-Sized Instance (Moderate)</t>
  </si>
  <si>
    <t>Right-Sized vCPU</t>
  </si>
  <si>
    <t>Right-Sized RAM (GB)</t>
  </si>
  <si>
    <t>Right-Sizing Note</t>
  </si>
  <si>
    <t>DRS Eligible (Prod only)</t>
  </si>
  <si>
    <t>Utilization Data Source</t>
  </si>
  <si>
    <t>DLCQRADAR</t>
  </si>
  <si>
    <t>Prod</t>
  </si>
  <si>
    <t>Standard_D2s_v3</t>
  </si>
  <si>
    <t>Linux</t>
  </si>
  <si>
    <t>m6a.large</t>
  </si>
  <si>
    <t>3-Yr No Upfront</t>
  </si>
  <si>
    <t>Moderate right-size (source: Excel (fallback - not present in zip export)): avg CPU 14.1% x4 buffer = 2 vCPU target; avg RAM used 3.3GB x1.75 buffer = 5.8GB target (capped at current spec). Cheapest fit chosen. Never exceeds current spec.</t>
  </si>
  <si>
    <t>Yes</t>
  </si>
  <si>
    <t>Excel (fallback - not present in zip export)</t>
  </si>
  <si>
    <t>INTRANET</t>
  </si>
  <si>
    <t>Standard_D4s_v4</t>
  </si>
  <si>
    <t>Windows</t>
  </si>
  <si>
    <t>m6a.xlarge</t>
  </si>
  <si>
    <t>Moderate right-size (source: zip (agent, current Azure environment)): avg CPU 8.1% x4 buffer = 2 vCPU target; avg RAM used 3.8GB x1.75 buffer = 6.6GB target (capped at current spec). Cheapest fit chosen. Never exceeds current spec.</t>
  </si>
  <si>
    <t>zip (agent, current Azure environment)</t>
  </si>
  <si>
    <t>PT-03-VM</t>
  </si>
  <si>
    <t>On-Demand 12x5</t>
  </si>
  <si>
    <t>Moderate right-size (source: zip (agent, current Azure environment)): avg CPU 51.9% x4 buffer = 2 vCPU target; avg RAM used 5.1GB x1.75 buffer = 8.0GB target (capped at current spec). Cheapest fit chosen. Never exceeds current spec.</t>
  </si>
  <si>
    <t>No</t>
  </si>
  <si>
    <t>PT-04-VM</t>
  </si>
  <si>
    <t>Moderate right-size (source: zip (agent, current Azure environment)): avg CPU 70.8% x4 buffer = 2 vCPU target; avg RAM used 4.8GB x1.75 buffer = 8.0GB target (capped at current spec). Cheapest fit chosen. Never exceeds current spec.</t>
  </si>
  <si>
    <t>PTADRISOFT01VM</t>
  </si>
  <si>
    <t>Prod/UAT/Dev</t>
  </si>
  <si>
    <t>Standard_B4s_v2</t>
  </si>
  <si>
    <t>Moderate right-size (source: zip (agent, current Azure environment)): avg CPU 24.3% x4 buffer = 4 vCPU target; avg RAM used 12.0GB x1.75 buffer = 16.0GB target (capped at current spec). Cheapest fit chosen. Never exceeds current spec.</t>
  </si>
  <si>
    <t>PTADRISOFT02VM</t>
  </si>
  <si>
    <t>r6a.large</t>
  </si>
  <si>
    <t>Moderate right-size (source: zip (agent, current Azure environment)): avg CPU 11.8% x4 buffer = 2 vCPU target; avg RAM used 7.2GB x1.75 buffer = 12.6GB target (capped at current spec). Cheapest fit chosen. Never exceeds current spec.</t>
  </si>
  <si>
    <t>PTADRISOFT03VM</t>
  </si>
  <si>
    <t>Moderate right-size (source: zip (agent, current Azure environment)): avg CPU 11.3% x4 buffer = 2 vCPU target; avg RAM used 7.9GB x1.75 buffer = 13.9GB target (capped at current spec). Cheapest fit chosen. Never exceeds current spec.</t>
  </si>
  <si>
    <t>PTADRISOFT04VM</t>
  </si>
  <si>
    <t>Moderate right-size (source: zip (agent, current Azure environment)): avg CPU 20.9% x4 buffer = 4 vCPU target; avg RAM used 12.0GB x1.75 buffer = 16.0GB target (capped at current spec). Cheapest fit chosen. Never exceeds current spec.</t>
  </si>
  <si>
    <t>PTADRISOFT05VM</t>
  </si>
  <si>
    <t>Moderate right-size (source: zip (agent, current Azure environment)): avg CPU 11.3% x4 buffer = 2 vCPU target; avg RAM used 6.3GB x1.75 buffer = 11.0GB target (capped at current spec). Cheapest fit chosen. Never exceeds current spec.</t>
  </si>
  <si>
    <t>PTATOS03VM</t>
  </si>
  <si>
    <t>Standard_D4s_v3</t>
  </si>
  <si>
    <t>Moderate right-size (source: zip (agent, current Azure environment)): avg CPU 26.5% x4 buffer = 4 vCPU target; avg RAM used 5.5GB x1.75 buffer = 9.7GB target (capped at current spec). Cheapest fit chosen. Never exceeds current spec.</t>
  </si>
  <si>
    <t>PTATOS05VM</t>
  </si>
  <si>
    <t>Moderate right-size (source: zip (agent, current Azure environment)): avg CPU 40.9% x4 buffer = 4 vCPU target; avg RAM used 7.0GB x1.75 buffer = 12.3GB target (capped at current spec). Cheapest fit chosen. Never exceeds current spec.</t>
  </si>
  <si>
    <t>PTATOS07VM</t>
  </si>
  <si>
    <t>Moderate right-size (source: zip (agent, current Azure environment)): avg CPU 35.0% x4 buffer = 4 vCPU target; avg RAM used 6.7GB x1.75 buffer = 11.7GB target (capped at current spec). Cheapest fit chosen. Never exceeds current spec.</t>
  </si>
  <si>
    <t>PTATOS08VM</t>
  </si>
  <si>
    <t>Moderate right-size (source: zip (agent, current Azure environment)): avg CPU 54.1% x4 buffer = 4 vCPU target; avg RAM used 8.8GB x1.75 buffer = 15.3GB target (capped at current spec). Cheapest fit chosen. Never exceeds current spec.</t>
  </si>
  <si>
    <t>PTDFAJUMP01VM</t>
  </si>
  <si>
    <t>Moderate right-size (source: zip (agent, current Azure environment)): avg CPU 16.6% x4 buffer = 3 vCPU target; avg RAM used 10.5GB x1.75 buffer = 16.0GB target (capped at current spec). Cheapest fit chosen. Never exceeds current spec.</t>
  </si>
  <si>
    <t>PTDFAJUMP02VM</t>
  </si>
  <si>
    <t>Moderate right-size (source: zip (agent, current Azure environment)): avg CPU 18.6% x4 buffer = 3 vCPU target; avg RAM used 7.8GB x1.75 buffer = 13.7GB target (capped at current spec). Cheapest fit chosen. Never exceeds current spec.</t>
  </si>
  <si>
    <t>PTDMCJUMP02VM</t>
  </si>
  <si>
    <t>Moderate right-size (source: zip (agent, current Azure environment)): avg CPU 16.8% x4 buffer = 3 vCPU target; avg RAM used 6.0GB x1.75 buffer = 10.6GB target (capped at current spec). Cheapest fit chosen. Never exceeds current spec.</t>
  </si>
  <si>
    <t>PTGOAJUMP05VM</t>
  </si>
  <si>
    <t>Moderate right-size (source: zip (agent, current Azure environment)): avg CPU 14.2% x4 buffer = 3 vCPU target; avg RAM used 7.6GB x1.75 buffer = 13.2GB target (capped at current spec). Cheapest fit chosen. Never exceeds current spec.</t>
  </si>
  <si>
    <t>PTGOAJUMP06VM</t>
  </si>
  <si>
    <t>Moderate right-size (source: zip (agent, current Azure environment)): avg CPU 14.8% x4 buffer = 3 vCPU target; avg RAM used 5.9GB x1.75 buffer = 10.4GB target (capped at current spec). Cheapest fit chosen. Never exceeds current spec.</t>
  </si>
  <si>
    <t>PTGOAJUMP07VM</t>
  </si>
  <si>
    <t>Moderate right-size (source: zip (agent, current Azure environment)): avg CPU 15.0% x4 buffer = 3 vCPU target; avg RAM used 7.0GB x1.75 buffer = 12.2GB target (capped at current spec). Cheapest fit chosen. Never exceeds current spec.</t>
  </si>
  <si>
    <t>PTGOAJUMP08VM</t>
  </si>
  <si>
    <t>Moderate right-size (source: zip (agent, current Azure environment)): avg CPU 19.6% x4 buffer = 4 vCPU target; avg RAM used 6.8GB x1.75 buffer = 11.9GB target (capped at current spec). Cheapest fit chosen. Never exceeds current spec.</t>
  </si>
  <si>
    <t>PTITAZTPT01VM</t>
  </si>
  <si>
    <t>Moderate right-size (source: zip (agent, current Azure environment)): avg CPU 22.3% x4 buffer = 4 vCPU target; avg RAM used 10.1GB x1.75 buffer = 16.0GB target (capped at current spec). Cheapest fit chosen. Never exceeds current spec.</t>
  </si>
  <si>
    <t>PTITAZTPT02VM</t>
  </si>
  <si>
    <t>Moderate right-size (source: Excel (fallback - not present in zip export)): avg CPU 10.8% x4 buffer = 2 vCPU target; avg RAM used 5.3GB x1.75 buffer = 9.3GB target (capped at current spec). Cheapest fit chosen. Never exceeds current spec.</t>
  </si>
  <si>
    <t>PTITAZTPT03VM</t>
  </si>
  <si>
    <t>Moderate right-size (source: zip (agent, current Azure environment)): avg CPU 14.6% x4 buffer = 3 vCPU target; avg RAM used 6.6GB x1.75 buffer = 11.6GB target (capped at current spec). Cheapest fit chosen. Never exceeds current spec.</t>
  </si>
  <si>
    <t>PTITAZTPT05VM</t>
  </si>
  <si>
    <t>Standard_D2s_v4</t>
  </si>
  <si>
    <t>Moderate right-size (source: zip (agent, current Azure environment)): avg CPU 41.1% x4 buffer = 2 vCPU target; avg RAM used 5.3GB x1.75 buffer = 8.0GB target (capped at current spec). Cheapest fit chosen. Never exceeds current spec.</t>
  </si>
  <si>
    <t>PTITAZTSD01VM</t>
  </si>
  <si>
    <t>Moderate right-size (source: zip (agent, current Azure environment)): avg CPU 11.8% x4 buffer = 2 vCPU target; avg RAM used 5.8GB x1.75 buffer = 10.2GB target (capped at current spec). Cheapest fit chosen. Never exceeds current spec.</t>
  </si>
  <si>
    <t>PTITEGA02VM</t>
  </si>
  <si>
    <t>Moderate right-size (source: zip (agent, current Azure environment)): avg CPU 28.3% x4 buffer = 4 vCPU target; avg RAM used 11.2GB x1.75 buffer = 16.0GB target (capped at current spec). Cheapest fit chosen. Never exceeds current spec.</t>
  </si>
  <si>
    <t>PTLINK03VM</t>
  </si>
  <si>
    <t>Moderate right-size (source: zip (agent, current Azure environment)): avg CPU 22.4% x4 buffer = 4 vCPU target; avg RAM used 10.7GB x1.75 buffer = 16.0GB target (capped at current spec). Cheapest fit chosen. Never exceeds current spec.</t>
  </si>
  <si>
    <t>PTLINK04VM</t>
  </si>
  <si>
    <t>Moderate right-size (source: zip (agent, current Azure environment)): avg CPU 15.9% x4 buffer = 3 vCPU target; avg RAM used 5.9GB x1.75 buffer = 10.3GB target (capped at current spec). Cheapest fit chosen. Never exceeds current spec.</t>
  </si>
  <si>
    <t>PTLINK05VM</t>
  </si>
  <si>
    <t>Moderate right-size (source: zip (agent, current Azure environment)): avg CPU 14.4% x4 buffer = 3 vCPU target; avg RAM used 5.6GB x1.75 buffer = 9.8GB target (capped at current spec). Cheapest fit chosen. Never exceeds current spec.</t>
  </si>
  <si>
    <t>PTONSITE02VM</t>
  </si>
  <si>
    <t>Moderate right-size (source: zip (agent, current Azure environment)): avg CPU 12.4% x4 buffer = 2 vCPU target; avg RAM used 9.6GB x1.75 buffer = 16.0GB target (capped at current spec). Cheapest fit chosen. Never exceeds current spec.</t>
  </si>
  <si>
    <t>PTSADJUMP03VM</t>
  </si>
  <si>
    <t>Moderate right-size (source: zip (agent, current Azure environment)): avg CPU 12.9% x4 buffer = 3 vCPU target; avg RAM used 5.5GB x1.75 buffer = 9.7GB target (capped at current spec). Cheapest fit chosen. Never exceeds current spec.</t>
  </si>
  <si>
    <t>PTSADJUMP04VM</t>
  </si>
  <si>
    <t>Moderate right-size (source: zip (agent, current Azure environment)): avg CPU 15.0% x4 buffer = 3 vCPU target; avg RAM used 5.8GB x1.75 buffer = 10.1GB target (capped at current spec). Cheapest fit chosen. Never exceeds current spec.</t>
  </si>
  <si>
    <t>SALX06</t>
  </si>
  <si>
    <t>Moderate right-size (source: zip (agent, current Azure environment)): avg CPU 20.5% x4 buffer = 4 vCPU target; avg RAM used 5.4GB x1.75 buffer = 9.4GB target (capped at current spec). Cheapest fit chosen. Never exceeds current spec.</t>
  </si>
  <si>
    <t>SARCHIVE01</t>
  </si>
  <si>
    <t>Moderate right-size (source: zip (agent, current Azure environment)): avg CPU 11.3% x4 buffer = 2 vCPU target; avg RAM used 3.9GB x1.75 buffer = 6.9GB target (capped at current spec). Cheapest fit chosen. Never exceeds current spec.</t>
  </si>
  <si>
    <t>SARH01-Prod</t>
  </si>
  <si>
    <t>Moderate right-size (source: zip (agent, current Azure environment)): avg CPU 15.2% x4 buffer = 3 vCPU target; avg RAM used 5.0GB x1.75 buffer = 8.8GB target (capped at current spec). Cheapest fit chosen. Never exceeds current spec.</t>
  </si>
  <si>
    <t>SAddAPI-Prod</t>
  </si>
  <si>
    <t>Moderate right-size (source: zip (agent, current Azure environment)): avg CPU 11.3% x4 buffer = 2 vCPU target; avg RAM used 4.6GB x1.75 buffer = 8.1GB target (capped at current spec). Cheapest fit chosen. Never exceeds current spec.</t>
  </si>
  <si>
    <t>SAddAPI-Tst</t>
  </si>
  <si>
    <t>Moderate right-size (source: zip (agent, current Azure environment)): avg CPU 10.3% x4 buffer = 2 vCPU target; avg RAM used 4.5GB x1.75 buffer = 7.9GB target (capped at current spec). Cheapest fit chosen. Never exceeds current spec.</t>
  </si>
  <si>
    <t>SAddExec-Prod</t>
  </si>
  <si>
    <t>Standard_F8s_v2</t>
  </si>
  <si>
    <t>c6a.2xlarge</t>
  </si>
  <si>
    <t>Moderate right-size (source: zip (agent, current Azure environment)): avg CPU 5.7% x4 buffer = 2 vCPU target; avg RAM used 4.5GB x1.75 buffer = 7.8GB target (capped at current spec). Cheapest fit chosen. Never exceeds current spec.</t>
  </si>
  <si>
    <t>SAddExec-Tst</t>
  </si>
  <si>
    <t>Moderate right-size (source: zip (agent, current Azure environment)): avg CPU 5.6% x4 buffer = 2 vCPU target; avg RAM used 4.7GB x1.75 buffer = 8.2GB target (capped at current spec). Cheapest fit chosen. Never exceeds current spec.</t>
  </si>
  <si>
    <t>SAddFiles-Prod</t>
  </si>
  <si>
    <t>Standard_D2as_v4</t>
  </si>
  <si>
    <t>Moderate right-size (source: zip (agent, current Azure environment)): avg CPU 18.1% x4 buffer = 2 vCPU target; avg RAM used 3.5GB x1.75 buffer = 6.1GB target (capped at current spec). Cheapest fit chosen. Never exceeds current spec.</t>
  </si>
  <si>
    <t>SAddFiles-Tst</t>
  </si>
  <si>
    <t>Moderate right-size (source: zip (agent, current Azure environment)): avg CPU 17.4% x4 buffer = 2 vCPU target; avg RAM used 3.4GB x1.75 buffer = 6.0GB target (capped at current spec). Cheapest fit chosen. Never exceeds current spec.</t>
  </si>
  <si>
    <t>SAddLic</t>
  </si>
  <si>
    <t>Moderate right-size (source: zip (agent, current Azure environment)): avg CPU 22.3% x4 buffer = 2 vCPU target; avg RAM used 3.5GB x1.75 buffer = 6.1GB target (capped at current spec). Cheapest fit chosen. Never exceeds current spec.</t>
  </si>
  <si>
    <t>SBDOUTSYS-Prod</t>
  </si>
  <si>
    <t>Standard_E8s_v4</t>
  </si>
  <si>
    <t>r6a.2xlarge</t>
  </si>
  <si>
    <t>Moderate right-size (source: zip (agent, current Azure environment)): avg CPU 12.2% x4 buffer = 4 vCPU target; avg RAM used 51.2GB x1.75 buffer = 64.0GB target (capped at current spec). Cheapest fit chosen. Never exceeds current spec.</t>
  </si>
  <si>
    <t>SBDOUTSYS-test</t>
  </si>
  <si>
    <t>Standard_E4s_v4</t>
  </si>
  <si>
    <t>r6a.xlarge</t>
  </si>
  <si>
    <t>Moderate right-size (source: zip (agent, current Azure environment)): avg CPU 22.9% x4 buffer = 4 vCPU target; avg RAM used 25.7GB x1.75 buffer = 32.0GB target (capped at current spec). Cheapest fit chosen. Never exceeds current spec.</t>
  </si>
  <si>
    <t>SBDUIP01-Prod</t>
  </si>
  <si>
    <t>Moderate right-size (source: zip (agent, current Azure environment)): avg CPU 10.6% x4 buffer = 2 vCPU target; avg RAM used 6.0GB x1.75 buffer = 10.5GB target (capped at current spec). Cheapest fit chosen. Never exceeds current spec.</t>
  </si>
  <si>
    <t>SBDUIP01-Test</t>
  </si>
  <si>
    <t>Moderate right-size (source: zip (agent, current Azure environment)): avg CPU 9.9% x4 buffer = 2 vCPU target; avg RAM used 5.2GB x1.75 buffer = 9.1GB target (capped at current spec). Cheapest fit chosen. Never exceeds current spec.</t>
  </si>
  <si>
    <t>SCDPT01</t>
  </si>
  <si>
    <t>Moderate right-size (source: zip (agent, current Azure environment)): avg CPU 31.9% x4 buffer = 2 vCPU target; avg RAM used 6.1GB x1.75 buffer = 8.0GB target (capped at current spec). Cheapest fit chosen. Never exceeds current spec.</t>
  </si>
  <si>
    <t>SCDPT02</t>
  </si>
  <si>
    <t>Moderate right-size (source: zip (agent, current Azure environment)): avg CPU 26.1% x4 buffer = 2 vCPU target; avg RAM used 5.1GB x1.75 buffer = 8.0GB target (capped at current spec). Cheapest fit chosen. Never exceeds current spec.</t>
  </si>
  <si>
    <t>SCONNECTOR01</t>
  </si>
  <si>
    <t>Moderate right-size (source: zip (agent, current Azure environment)): avg CPU 9.8% x4 buffer = 2 vCPU target; avg RAM used 4.4GB x1.75 buffer = 7.7GB target (capped at current spec). Cheapest fit chosen. Never exceeds current spec.</t>
  </si>
  <si>
    <t>SDOCApp01-Prod</t>
  </si>
  <si>
    <t>Standard_D2s_v5</t>
  </si>
  <si>
    <t>Moderate right-size (source: zip (agent, current Azure environment)): avg CPU 22.7% x4 buffer = 2 vCPU target; avg RAM used 1.2GB x1.75 buffer = 2.1GB target (capped at current spec). Cheapest fit chosen. Never exceeds current spec.</t>
  </si>
  <si>
    <t>SDOCApp01-Tst</t>
  </si>
  <si>
    <t>Moderate right-size (source: zip (agent, current Azure environment)): avg CPU 25.2% x4 buffer = 2 vCPU target; avg RAM used 1.4GB x1.75 buffer = 2.5GB target (capped at current spec). Cheapest fit chosen. Never exceeds current spec.</t>
  </si>
  <si>
    <t>SELOMOBILE02</t>
  </si>
  <si>
    <t>Moderate right-size (source: zip (agent, current Azure environment)): avg CPU 13.4% x4 buffer = 2 vCPU target; avg RAM used 3.7GB x1.75 buffer = 6.4GB target (capped at current spec). Cheapest fit chosen. Never exceeds current spec.</t>
  </si>
  <si>
    <t>SEdoc01-Prod</t>
  </si>
  <si>
    <t>Moderate right-size (source: zip (agent, current Azure environment)): avg CPU 25.9% x4 buffer = 2 vCPU target; avg RAM used 4.8GB x1.75 buffer = 8.0GB target (capped at current spec). Cheapest fit chosen. Never exceeds current spec.</t>
  </si>
  <si>
    <t>SEdoc01-test</t>
  </si>
  <si>
    <t>Moderate right-size (source: zip (agent, current Azure environment)): avg CPU 30.9% x4 buffer = 2 vCPU target; avg RAM used 3.9GB x1.75 buffer = 6.9GB target (capped at current spec). Cheapest fit chosen. Never exceeds current spec.</t>
  </si>
  <si>
    <t>SGTGADOR01-PROD</t>
  </si>
  <si>
    <t>Moderate right-size (source: zip (agent, current Azure environment)): avg CPU 26.9% x4 buffer = 4 vCPU target; avg RAM used 5.0GB x1.75 buffer = 8.8GB target (capped at current spec). Cheapest fit chosen. Never exceeds current spec.</t>
  </si>
  <si>
    <t>SH-AVD-0</t>
  </si>
  <si>
    <t>Standard_D4as_v5</t>
  </si>
  <si>
    <t>Moderate right-size (source: Excel (fallback - not present in zip export)): avg CPU 2.3% x4 buffer = 2 vCPU target; avg RAM used 4.5GB x1.75 buffer = 7.9GB target (capped at current spec). Cheapest fit chosen. Never exceeds current spec.</t>
  </si>
  <si>
    <t>SMEConnect01</t>
  </si>
  <si>
    <t>Moderate right-size (source: zip (agent, current Azure environment)): avg CPU 28.5% x4 buffer = 2 vCPU target; avg RAM used 5.3GB x1.75 buffer = 8.0GB target (capped at current spec). Cheapest fit chosen. Never exceeds current spec.</t>
  </si>
  <si>
    <t>SNTPSrvPT01</t>
  </si>
  <si>
    <t>Moderate right-size (source: zip (agent, current Azure environment)): avg CPU 13.0% x4 buffer = 2 vCPU target; avg RAM used 3.0GB x1.75 buffer = 5.3GB target (capped at current spec). Cheapest fit chosen. Never exceeds current spec.</t>
  </si>
  <si>
    <t>SOUTCNT3</t>
  </si>
  <si>
    <t>Moderate right-size (source: zip (agent, current Azure environment)): avg CPU 11.8% x4 buffer = 2 vCPU target; avg RAM used 7.4GB x1.75 buffer = 12.9GB target (capped at current spec). Cheapest fit chosen. Never exceeds current spec.</t>
  </si>
  <si>
    <t>SOUTDES3</t>
  </si>
  <si>
    <t>Moderate right-size (source: zip (agent, current Azure environment)): avg CPU 13.0% x4 buffer = 3 vCPU target; avg RAM used 9.3GB x1.75 buffer = 16.0GB target (capped at current spec). Cheapest fit chosen. Never exceeds current spec.</t>
  </si>
  <si>
    <t>SOUTLIF3</t>
  </si>
  <si>
    <t>Moderate right-size (source: zip (agent, current Azure environment)): avg CPU 12.8% x4 buffer = 3 vCPU target; avg RAM used 6.1GB x1.75 buffer = 10.7GB target (capped at current spec). Cheapest fit chosen. Never exceeds current spec.</t>
  </si>
  <si>
    <t>SOUTPRD16</t>
  </si>
  <si>
    <t>Moderate right-size (source: zip (agent, current Azure environment)): avg CPU 10.0% x4 buffer = 2 vCPU target; avg RAM used 5.2GB x1.75 buffer = 9.1GB target (capped at current spec). Cheapest fit chosen. Never exceeds current spec.</t>
  </si>
  <si>
    <t>SOUTPRD17</t>
  </si>
  <si>
    <t>Moderate right-size (source: zip (agent, current Azure environment)): avg CPU 11.8% x4 buffer = 2 vCPU target; avg RAM used 10.1GB x1.75 buffer = 16.0GB target (capped at current spec). Cheapest fit chosen. Never exceeds current spec.</t>
  </si>
  <si>
    <t>SOUTPRD18</t>
  </si>
  <si>
    <t>Moderate right-size (source: zip (agent, current Azure environment)): avg CPU 9.9% x4 buffer = 2 vCPU target; avg RAM used 8.2GB x1.75 buffer = 14.3GB target (capped at current spec). Cheapest fit chosen. Never exceeds current spec.</t>
  </si>
  <si>
    <t>SOUTPRD19</t>
  </si>
  <si>
    <t>Moderate right-size (source: zip (agent, current Azure environment)): avg CPU 12.8% x4 buffer = 3 vCPU target; avg RAM used 6.6GB x1.75 buffer = 11.6GB target (capped at current spec). Cheapest fit chosen. Never exceeds current spec.</t>
  </si>
  <si>
    <t>SOUTPRD20</t>
  </si>
  <si>
    <t>Moderate right-size (source: zip (agent, current Azure environment)): avg CPU 10.7% x4 buffer = 2 vCPU target; avg RAM used 6.7GB x1.75 buffer = 11.8GB target (capped at current spec). Cheapest fit chosen. Never exceeds current spec.</t>
  </si>
  <si>
    <t>SOUTPRD21</t>
  </si>
  <si>
    <t>Moderate right-size (source: zip (agent, current Azure environment)): avg CPU 9.6% x4 buffer = 2 vCPU target; avg RAM used 6.1GB x1.75 buffer = 10.7GB target (capped at current spec). Cheapest fit chosen. Never exceeds current spec.</t>
  </si>
  <si>
    <t>SOUTPRD22</t>
  </si>
  <si>
    <t>Moderate right-size (source: zip (agent, current Azure environment)): avg CPU 11.4% x4 buffer = 2 vCPU target; avg RAM used 5.6GB x1.75 buffer = 9.7GB target (capped at current spec). Cheapest fit chosen. Never exceeds current spec.</t>
  </si>
  <si>
    <t>SOUTPRD23</t>
  </si>
  <si>
    <t>Moderate right-size (source: zip (agent, current Azure environment)): avg CPU 10.4% x4 buffer = 2 vCPU target; avg RAM used 6.8GB x1.75 buffer = 11.9GB target (capped at current spec). Cheapest fit chosen. Never exceeds current spec.</t>
  </si>
  <si>
    <t>SOUTTES6</t>
  </si>
  <si>
    <t>Moderate right-size (source: zip (agent, current Azure environment)): avg CPU 24.3% x4 buffer = 4 vCPU target; avg RAM used 10.0GB x1.75 buffer = 16.0GB target (capped at current spec). Cheapest fit chosen. Never exceeds current spec.</t>
  </si>
  <si>
    <t>SOUTTES7</t>
  </si>
  <si>
    <t>Moderate right-size (source: zip (agent, current Azure environment)): avg CPU 9.4% x4 buffer = 2 vCPU target; avg RAM used 5.4GB x1.75 buffer = 9.4GB target (capped at current spec). Cheapest fit chosen. Never exceeds current spec.</t>
  </si>
  <si>
    <t>SOUTTES8</t>
  </si>
  <si>
    <t>Moderate right-size (source: zip (agent, current Azure environment)): avg CPU 9.6% x4 buffer = 2 vCPU target; avg RAM used 5.4GB x1.75 buffer = 9.4GB target (capped at current spec). Cheapest fit chosen. Never exceeds current spec.</t>
  </si>
  <si>
    <t>SOUTWS3</t>
  </si>
  <si>
    <t>Moderate right-size (source: zip (agent, current Azure environment)): avg CPU 31.5% x4 buffer = 4 vCPU target; avg RAM used 6.2GB x1.75 buffer = 10.9GB target (capped at current spec). Cheapest fit chosen. Never exceeds current spec.</t>
  </si>
  <si>
    <t>SOrcUIP01-Prod</t>
  </si>
  <si>
    <t>Moderate right-size (source: zip (agent, current Azure environment)): avg CPU 9.0% x4 buffer = 2 vCPU target; avg RAM used 4.5GB x1.75 buffer = 7.9GB target (capped at current spec). Cheapest fit chosen. Never exceeds current spec.</t>
  </si>
  <si>
    <t>SPRINT01</t>
  </si>
  <si>
    <t>Moderate right-size (source: zip (agent, current Azure environment)): avg CPU 32.5% x4 buffer = 2 vCPU target; avg RAM used 4.6GB x1.75 buffer = 8.0GB target (capped at current spec). Cheapest fit chosen. Never exceeds current spec.</t>
  </si>
  <si>
    <t>SRHAppPrm1-Prod</t>
  </si>
  <si>
    <t>Standard_D4s_v5</t>
  </si>
  <si>
    <t>Moderate right-size (source: zip (agent, current Azure environment)): avg CPU 11.0% x4 buffer = 2 vCPU target; avg RAM used 7.5GB x1.75 buffer = 13.1GB target (capped at current spec). Cheapest fit chosen. Never exceeds current spec.</t>
  </si>
  <si>
    <t>SRHDBPrm2-Prod</t>
  </si>
  <si>
    <t>Moderate right-size (source: zip (agent, current Azure environment)): avg CPU 12.4% x4 buffer = 2 vCPU target; avg RAM used 11.4GB x1.75 buffer = 20.0GB target (capped at current spec). Cheapest fit chosen. Never exceeds current spec.</t>
  </si>
  <si>
    <t>SRHPrim01-Test</t>
  </si>
  <si>
    <t>Moderate right-size (source: zip (agent, current Azure environment)): avg CPU 13.8% x4 buffer = 3 vCPU target; avg RAM used 7.8GB x1.75 buffer = 13.6GB target (capped at current spec). Cheapest fit chosen. Never exceeds current spec.</t>
  </si>
  <si>
    <t>SRHUsrPrm1-Prod</t>
  </si>
  <si>
    <t>Moderate right-size (source: zip (agent, current Azure environment)): avg CPU 8.7% x4 buffer = 2 vCPU target; avg RAM used 5.2GB x1.75 buffer = 9.0GB target (capped at current spec). Cheapest fit chosen. Never exceeds current spec.</t>
  </si>
  <si>
    <t>SSAGEPeople</t>
  </si>
  <si>
    <t>m6a.2xlarge</t>
  </si>
  <si>
    <t>vCPU not available in source discovery data. Inferred as 8 vCPU based on comparable Sage systems (D8s_v4 class, 32 GB RAM confirmed). Recommended for validation with the infrastructure team.</t>
  </si>
  <si>
    <t>Moderate right-size (source: zip (agent, current Azure environment)): avg CPU 11.1% x4 buffer = 4 vCPU target; avg RAM used 9.8GB x1.75 buffer = 17.2GB target (capped at current spec). Cheapest fit chosen. Never exceeds current spec.</t>
  </si>
  <si>
    <t>SSAGESEI</t>
  </si>
  <si>
    <t>Moderate right-size (source: zip (agent, current Azure environment)): avg CPU 21.4% x4 buffer = 7 vCPU target; avg RAM used 6.2GB x1.75 buffer = 10.9GB target (capped at current spec). Cheapest fit chosen. Never exceeds current spec.</t>
  </si>
  <si>
    <t>SSAGEX3-Prod</t>
  </si>
  <si>
    <t>Standard_D8s_v4</t>
  </si>
  <si>
    <t>Moderate right-size (source: zip (agent, current Azure environment)): avg CPU 20.9% x4 buffer = 7 vCPU target; avg RAM used 23.8GB x1.75 buffer = 32.0GB target (capped at current spec). Cheapest fit chosen. Never exceeds current spec.</t>
  </si>
  <si>
    <t>SSAGEX3-TST</t>
  </si>
  <si>
    <t>Moderate right-size (source: zip (agent, current Azure environment)): avg CPU 6.4% x4 buffer = 3 vCPU target; avg RAM used 7.3GB x1.75 buffer = 12.8GB target (capped at current spec). Cheapest fit chosen. Never exceeds current spec.</t>
  </si>
  <si>
    <t>SSIID-Prod</t>
  </si>
  <si>
    <t>Standard_D8as_v5</t>
  </si>
  <si>
    <t>Moderate right-size (source: zip (agent, current Azure environment)): avg CPU 12.4% x4 buffer = 4 vCPU target; avg RAM used 17.4GB x1.75 buffer = 30.5GB target (capped at current spec). Cheapest fit chosen. Never exceeds current spec.</t>
  </si>
  <si>
    <t>SSIIDT</t>
  </si>
  <si>
    <t>Moderate right-size (source: zip (agent, current Azure environment)): avg CPU 27.1% x4 buffer = 4 vCPU target; avg RAM used 12.2GB x1.75 buffer = 16.0GB target (capped at current spec). Cheapest fit chosen. Never exceeds current spec.</t>
  </si>
  <si>
    <t>SWEBLOGT</t>
  </si>
  <si>
    <t>Moderate right-size (source: zip (agent, current Azure environment)): avg CPU 31.9% x4 buffer = 4 vCPU target; avg RAM used 10.1GB x1.75 buffer = 16.0GB target (capped at current spec). Cheapest fit chosen. Never exceeds current spec.</t>
  </si>
  <si>
    <t>SWEBLOGT2</t>
  </si>
  <si>
    <t>Moderate right-size (source: zip (agent, current Azure environment)): avg CPU 23.1% x4 buffer = 4 vCPU target; avg RAM used 9.6GB x1.75 buffer = 16.0GB target (capped at current spec). Cheapest fit chosen. Never exceeds current spec.</t>
  </si>
  <si>
    <t>SWLGador01-Prod</t>
  </si>
  <si>
    <t>Moderate right-size (source: zip (agent, current Azure environment)): avg CPU 28.3% x4 buffer = 4 vCPU target; avg RAM used 9.5GB x1.75 buffer = 16.0GB target (capped at current spec). Cheapest fit chosen. Never exceeds current spec.</t>
  </si>
  <si>
    <t>SWLGador02-Prod</t>
  </si>
  <si>
    <t>Moderate right-size (source: zip (agent, current Azure environment)): avg CPU 25.7% x4 buffer = 4 vCPU target; avg RAM used 9.2GB x1.75 buffer = 16.0GB target (capped at current spec). Cheapest fit chosen. Never exceeds current spec.</t>
  </si>
  <si>
    <t>SWLGador03-Prod</t>
  </si>
  <si>
    <t>Standard_D8ls_v5</t>
  </si>
  <si>
    <t>Moderate right-size (source: zip (agent, current Azure environment)): avg CPU 12.4% x4 buffer = 4 vCPU target; avg RAM used 11.6GB x1.75 buffer = 16.0GB target (capped at current spec). Cheapest fit chosen. Never exceeds current spec.</t>
  </si>
  <si>
    <t>SWinDoc01-Prod</t>
  </si>
  <si>
    <t>Moderate right-size (source: zip (agent, current Azure environment)): avg CPU 7.6% x4 buffer = 2 vCPU target; avg RAM used 4.5GB x1.75 buffer = 7.9GB target (capped at current spec). Cheapest fit chosen. Never exceeds current spec.</t>
  </si>
  <si>
    <t>UIPROBOTDEV04</t>
  </si>
  <si>
    <t>Moderate right-size (source: zip (agent, current Azure environment)): avg CPU 18.1% x4 buffer = 3 vCPU target; avg RAM used 8.4GB x1.75 buffer = 14.8GB target (capped at current spec). Cheapest fit chosen. Never exceeds current spec.</t>
  </si>
  <si>
    <t>UIPROBOTDEV05</t>
  </si>
  <si>
    <t>Moderate right-size (source: zip (agent, current Azure environment)): avg CPU 15.6% x4 buffer = 3 vCPU target; avg RAM used 8.2GB x1.75 buffer = 14.4GB target (capped at current spec). Cheapest fit chosen. Never exceeds current spec.</t>
  </si>
  <si>
    <t>UIPROBOTDEV06</t>
  </si>
  <si>
    <t>Moderate right-size (source: zip (agent, current Azure environment)): avg CPU 13.9% x4 buffer = 3 vCPU target; avg RAM used 7.4GB x1.75 buffer = 12.9GB target (capped at current spec). Cheapest fit chosen. Never exceeds current spec.</t>
  </si>
  <si>
    <t>UIPROBOTQA01</t>
  </si>
  <si>
    <t>Moderate right-size (source: zip (agent, current Azure environment)): avg CPU 14.8% x4 buffer = 3 vCPU target; avg RAM used 6.5GB x1.75 buffer = 11.4GB target (capped at current spec). Cheapest fit chosen. Never exceeds current spec.</t>
  </si>
  <si>
    <t>WRbtUIP05-Prod</t>
  </si>
  <si>
    <t>Moderate right-size (source: zip (agent, current Azure environment)): avg CPU 15.5% x4 buffer = 3 vCPU target; avg RAM used 7.1GB x1.75 buffer = 12.4GB target (capped at current spec). Cheapest fit chosen. Never exceeds current spec.</t>
  </si>
  <si>
    <t>WRbtUIP06-Prod</t>
  </si>
  <si>
    <t>Moderate right-size (source: zip (agent, current Azure environment)): avg CPU 16.5% x4 buffer = 3 vCPU target; avg RAM used 6.9GB x1.75 buffer = 12.0GB target (capped at current spec). Cheapest fit chosen. Never exceeds current spec.</t>
  </si>
  <si>
    <t>WRbtUIP07-Prod</t>
  </si>
  <si>
    <t>Moderate right-size (source: zip (agent, current Azure environment)): avg CPU 14.5% x4 buffer = 3 vCPU target; avg RAM used 6.3GB x1.75 buffer = 11.1GB target (capped at current spec). Cheapest fit chosen. Never exceeds current spec.</t>
  </si>
  <si>
    <t>WRbtUIP08-Prod</t>
  </si>
  <si>
    <t>Moderate right-size (source: zip (agent, current Azure environment)): avg CPU 18.7% x4 buffer = 3 vCPU target; avg RAM used 7.8GB x1.75 buffer = 13.7GB target (capped at current spec). Cheapest fit chosen. Never exceeds current spec.</t>
  </si>
  <si>
    <t>sbdoracle-prod</t>
  </si>
  <si>
    <t>Standard_E16-8ds_v5</t>
  </si>
  <si>
    <t>r6a.4xlarge</t>
  </si>
  <si>
    <t>Moderate right-size (source: zip (agent, current Azure environment)): avg CPU 29.8% x4 buffer = 16 vCPU target; avg RAM used 63.2GB x1.75 buffer = 110.6GB target (capped at current spec). Cheapest fit chosen. Never exceeds current spec.</t>
  </si>
  <si>
    <t>sbdoracle-tst</t>
  </si>
  <si>
    <t>Standard_E8s_v3</t>
  </si>
  <si>
    <t>Moderate right-size (source: zip (agent, current Azure environment)): avg CPU 19.8% x4 buffer = 7 vCPU target; avg RAM used 37.1GB x1.75 buffer = 64.0GB target (capped at current spec). Cheapest fit chosen. Never exceeds current spec.</t>
  </si>
  <si>
    <t>sclx01</t>
  </si>
  <si>
    <t>Moderate right-size (source: zip (agent, current Azure environment)): avg CPU 37.8% x4 buffer = 2 vCPU target; avg RAM used 5.0GB x1.75 buffer = 8.0GB target (capped at current spec). Cheapest fit chosen. Never exceeds current spec.</t>
  </si>
  <si>
    <t>smail02</t>
  </si>
  <si>
    <t>Moderate right-size (source: Excel (fallback - not present in zip export)): avg CPU 22.2% x4 buffer = 4 vCPU target; avg RAM used 10.6GB x1.75 buffer = 16.0GB target (capped at current spec). Cheapest fit chosen. Never exceeds current spec.</t>
  </si>
  <si>
    <t>swindoc01-test</t>
  </si>
  <si>
    <t>Moderate right-size (source: zip (agent, current Azure environment)): avg CPU 7.8% x4 buffer = 2 vCPU target; avg RAM used 4.1GB x1.75 buffer = 7.1GB target (capped at current spec). Cheapest fit chosen. Never exceeds current spec.</t>
  </si>
  <si>
    <t>AWS-SQL-PROD-01 (consolidates SSQLDBEdoc-Prod)</t>
  </si>
  <si>
    <t>N/A - Consolidated</t>
  </si>
  <si>
    <t>SQL consolidation target. Sized from SSQLDBEdoc-Prod peak utilization (CPU 74.3% x 4 = 3.0 vCPU; RAM peak 31.2 GB x 1.25 buffer = 39 GB) rounded to nearest AMD r-family. Kept standalone — RAM already 90-97% utilized. Recommended for validation by the database administration team.</t>
  </si>
  <si>
    <t>Already right-sized (SQL consolidation) - no change</t>
  </si>
  <si>
    <t>N/A - sized separately</t>
  </si>
  <si>
    <t>AWS-SQL-PROD-02 (consolidates SAddSQL-Prod + SSQLPROD)</t>
  </si>
  <si>
    <t>SQL consolidation target. Combined right-sized need approximately 10-11 vCPU / 71 GB (sum of peak-utilization x 1.25 buffer for both source VMs) rounded to next AMD r-family size. Recommended for validation by the database administration team.</t>
  </si>
  <si>
    <t>AWS-SQL-UAT-01 (consolidates SSQLDBEdoc-Test)</t>
  </si>
  <si>
    <t>SQL consolidation target. Sized from SSQLDBEdoc-Test peak utilization (CPU 94.2% x 4 = 3.8 vCPU; RAM peak 29.15 GB x 1.25 buffer = 36.4 GB) rounded to nearest AMD r-family. Kept standalone — RAM already ~91% utilized. Recommended for validation by the database administration team.</t>
  </si>
  <si>
    <t>AWS-SQL-UAT-02 (consolidates SAddSQL-Tst + SSQLTES)</t>
  </si>
  <si>
    <t>SQL consolidation target. Combined right-sized need approximately 8.5 vCPU / 28.7 GB (sum of peak-utilization x 1.25 buffer). Recommended for validation by the database administration team.</t>
  </si>
  <si>
    <t>AWS-ADDC-03 (new)</t>
  </si>
  <si>
    <t>N/A - New Build</t>
  </si>
  <si>
    <t>m7a.2xlarge</t>
  </si>
  <si>
    <t>New additional AD Domain Controller (beyond SCDPT01/SCDPT02). Sized to match existing DC spec (2vCPU/8GB) since no separate sizing requirement given.</t>
  </si>
  <si>
    <t>Specified sizing: m7a.2xlarge (7th-generation AMD).</t>
  </si>
  <si>
    <t>AWS-ADDC-04 (new)</t>
  </si>
  <si>
    <t>TOTAL</t>
  </si>
  <si>
    <t>AWS EC2 Compute Cost Summary</t>
  </si>
  <si>
    <t>Detail: see Server Inventory tab, column O (Monthly Compute $)</t>
  </si>
  <si>
    <t>Segment</t>
  </si>
  <si>
    <t>Instance Count</t>
  </si>
  <si>
    <t>Monthly Cost ($)</t>
  </si>
  <si>
    <t>Annual Cost ($)</t>
  </si>
  <si>
    <t>3-Year Cost ($)</t>
  </si>
  <si>
    <t>Production (3-Yr No Upfront)</t>
  </si>
  <si>
    <t>UAT + Dev (On-Demand 12x5)</t>
  </si>
  <si>
    <t>AWS EBS Storage Cost Summary</t>
  </si>
  <si>
    <t>gp3 storage, eu-central-1. Detail: see Server Inventory tab, column P</t>
  </si>
  <si>
    <t>AWS Backup Cost Summary</t>
  </si>
  <si>
    <t>Prod: daily/30-day. UAT+Dev: weekly/1-month. Detail: see Server Inventory tab, column Q</t>
  </si>
  <si>
    <t>AWS DRS (Disaster Recovery) Cost — AWS Ireland (eu-west-1)</t>
  </si>
  <si>
    <t>Production servers only (Environment = "Prod" tag, 64 servers - excludes shared Prod/UAT/Dev). Replication fee + staging storage (20% of source disk).</t>
  </si>
  <si>
    <t>Production servers (Env=Prod, DRS to eu-west-1)</t>
  </si>
  <si>
    <t>Note: Excludes recovery-instance and drill-testing compute cost, which is only incurred during an actual failover or scheduled DR test — not a steady-state monthly charge. A separate DR-test cost line can be added if required.</t>
  </si>
  <si>
    <t>AWS Network Cost — Transit Gateway</t>
  </si>
  <si>
    <t>4 Transit Gateway attachments, 100 GB/month data transfer each</t>
  </si>
  <si>
    <t>Number of TGW attachments</t>
  </si>
  <si>
    <t>Data transfer per attachment (GB/month)</t>
  </si>
  <si>
    <t>TGW attachment rate ($/hour)</t>
  </si>
  <si>
    <t>TGW data processing rate ($/GB)</t>
  </si>
  <si>
    <t>Hours per month</t>
  </si>
  <si>
    <t>Monthly attachment cost ($)</t>
  </si>
  <si>
    <t>Monthly data processing cost ($)</t>
  </si>
  <si>
    <t>TOTAL Monthly Network Cost ($)</t>
  </si>
  <si>
    <t>TOTAL Annual Network Cost ($)</t>
  </si>
  <si>
    <t>TOTAL 3-Year Network Cost ($)</t>
  </si>
  <si>
    <t>Transit Gateway - DR cross-region attachment (Frankfurt ↔ Ireland)</t>
  </si>
  <si>
    <t>Cross-region peering attachments are billed at a different rate than standard same-region attachments.</t>
  </si>
  <si>
    <t>TOTAL Monthly Network Cost incl. DR attachment ($)</t>
  </si>
  <si>
    <t>TOTAL Annual Network Cost incl. DR attachment ($)</t>
  </si>
  <si>
    <t>TOTAL 3-Year Network Cost incl. DR attachment ($)</t>
  </si>
  <si>
    <t>Azure Current-State Baseline Cost (EUR)</t>
  </si>
  <si>
    <t>Azure infrastructure cost only. Managed Services is a separate vendor/IMS cost, not comparable to AWS infrastructure spend, and is excluded from this baseline. Actuals: Dec-2025, Jan-2026 only. Feb-Dec 2026 held flat at the average of the two known months.</t>
  </si>
  <si>
    <t>Month</t>
  </si>
  <si>
    <t>Managed Services (€)</t>
  </si>
  <si>
    <t>Azure Tenant (€)</t>
  </si>
  <si>
    <t>Azure Infra Cost - used for TCO (€)</t>
  </si>
  <si>
    <t>Source</t>
  </si>
  <si>
    <t>Total (USD)</t>
  </si>
  <si>
    <t>Dec-2025</t>
  </si>
  <si>
    <t>Actual invoice</t>
  </si>
  <si>
    <t>Jan-2026</t>
  </si>
  <si>
    <t>Feb-2026</t>
  </si>
  <si>
    <t>ASSUMPTION - held flat at avg of Dec/Jan actuals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</si>
  <si>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</si>
  <si>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</si>
  <si>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</si>
  <si>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</si>
  <si>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</si>
  <si>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</si>
  <si>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</si>
  <si>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</si>
  <si>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</si>
  <si>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</si>
  <si>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TOTAL (12 months)</t>
  </si>
  <si>
    <t>Managed Services (excluded from TCO - vendor/IMS cost)</t>
  </si>
  <si>
    <t>Annualized Azure Baseline (€/year)</t>
  </si>
  <si>
    <t>Annualized (USD)</t>
  </si>
  <si>
    <t>3-Year Azure Baseline (€, flat projection)</t>
  </si>
  <si>
    <t>3-Year (USD)</t>
  </si>
  <si>
    <t>Figures are shown in EUR and USD using the FX rate on the Pricing Inputs tab.</t>
  </si>
  <si>
    <t>3-Year TCO Summary — Azure (Current) vs AWS (Proposed)</t>
  </si>
  <si>
    <t>All figures shown in EUR and USD. FX rate: see Pricing Inputs!B31 (update there to refresh every number below).</t>
  </si>
  <si>
    <t>AWS COST BREAKDOWN (USD) — 3-Year</t>
  </si>
  <si>
    <t>Cost Category</t>
  </si>
  <si>
    <t>Monthly ($)</t>
  </si>
  <si>
    <t>Annual ($)</t>
  </si>
  <si>
    <t>3-Year ($)</t>
  </si>
  <si>
    <t>Monthly (€)</t>
  </si>
  <si>
    <t>Annual (€)</t>
  </si>
  <si>
    <t>3-Year (€)</t>
  </si>
  <si>
    <t>EC2 Compute</t>
  </si>
  <si>
    <t>EBS Storage</t>
  </si>
  <si>
    <t>AWS DRS (Ireland, Prod only)</t>
  </si>
  <si>
    <t>Network (Transit Gateway)</t>
  </si>
  <si>
    <t>TOTAL AWS COST</t>
  </si>
  <si>
    <t>AZURE BASELINE (EUR) — 3-Year</t>
  </si>
  <si>
    <t>Annualized (€)</t>
  </si>
  <si>
    <t>Annualized ($)</t>
  </si>
  <si>
    <t>Azure Infrastructure Cost (Managed Services excluded)</t>
  </si>
  <si>
    <t>Note: Feb–Dec 2026 uses an assumed flat continuation of Dec/Jan actuals — see Azure Baseline tab.</t>
  </si>
  <si>
    <t>SIDE-BY-SIDE COMPARISON (No FX conversion applied)</t>
  </si>
  <si>
    <t>Azure (€)</t>
  </si>
  <si>
    <t>Azure ($)</t>
  </si>
  <si>
    <t>AWS ($)</t>
  </si>
  <si>
    <t>AWS (€)</t>
  </si>
  <si>
    <t>Annual Cost</t>
  </si>
  <si>
    <t>3-Year Cost</t>
  </si>
  <si>
    <t>FX rate used (1 EUR = X USD):</t>
  </si>
  <si>
    <t>FX rate sourced from the Pricing Inputs tab; update there if a revised rate becomes available.</t>
  </si>
  <si>
    <t>AWS Pricing Inputs</t>
  </si>
  <si>
    <t>eu-central-1 (Frankfurt) unless noted. EC2/Storage/Backup/DRS/Network rates verified against the AWS Pricing Calculator and current CSP rate card. Remaining assumption rows (staging %, backup multipliers, hours/month) are modeling choices, not market rates.</t>
  </si>
  <si>
    <t>EC2 INSTANCE RATES (USD/hour)</t>
  </si>
  <si>
    <t>Instance Type</t>
  </si>
  <si>
    <t>vCPU</t>
  </si>
  <si>
    <t>RAM (GiB)</t>
  </si>
  <si>
    <t>On-Demand Linux</t>
  </si>
  <si>
    <t>On-Demand Windows</t>
  </si>
  <si>
    <t>3-Yr No Upfront Linux</t>
  </si>
  <si>
    <t>3-Yr No Upfront Windows</t>
  </si>
  <si>
    <t>c6a.large</t>
  </si>
  <si>
    <t>NEW-BUILD / SPECIAL INSTANCE TYPES</t>
  </si>
  <si>
    <t>Used for the 2 new Active Directory Domain Controllers.</t>
  </si>
  <si>
    <t>STORAGE, BACKUP, DRS, NETWORK RATES</t>
  </si>
  <si>
    <t>EBS gp3 storage rate ($/GB-month, eu-central-1)</t>
  </si>
  <si>
    <t>EBS gp3 storage rate ($/GB-month, eu-west-1 - for DRS staging)</t>
  </si>
  <si>
    <t>AWS Backup warm storage rate ($/GB-month, eu-central-1)</t>
  </si>
  <si>
    <t>AWS DRS replication fee per source server ($/hour, eu-west-1)</t>
  </si>
  <si>
    <t>DRS staging disk as % of source disk (typical guidance)</t>
  </si>
  <si>
    <t>Transit Gateway attachment rate ($/hour)</t>
  </si>
  <si>
    <t>Transit Gateway data processing rate ($/GB)</t>
  </si>
  <si>
    <t>Hours per month - 3-Yr No Upfront (always-on)</t>
  </si>
  <si>
    <t>Hours per month - On-Demand 12x5 (Dev/Test)</t>
  </si>
  <si>
    <t>Backup storage multiplier - Production (daily/30-day, incremental est.)</t>
  </si>
  <si>
    <t>Backup storage multiplier - UAT/Dev (weekly/1-month, incremental est.)</t>
  </si>
  <si>
    <t>Note: Backup storage multipliers are a modeling simplification. DRS staging % is a guideline; an alternative independent estimate used near-full-disk staging — see AWS DRS Cost tab note.</t>
  </si>
  <si>
    <t>FX RATE</t>
  </si>
  <si>
    <t>EUR to USD rate (1 EUR = X USD)</t>
  </si>
  <si>
    <t>Verified FX rate: 1 EUR = 1.14 USD.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</si>
</sst>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00"/>
    <numFmt numFmtId="165" formatCode="\$#,##0"/>
    <numFmt numFmtId="166" formatCode="#,##0.00&quot; €&quot;"/>
    <numFmt numFmtId="167" formatCode="#,##0&quot; €&quot;"/>
  </numFmts>
  <fonts count="16">
    <font>
      <sz val="11"/>
      <color theme="1"/>
      <name val="Calibri"/>
      <family val="2"/>
      <charset val="1"/>
    </font>
    <font>
      <b/>
      <sz val="16"/>
      <color rgb="FF0A2540"/>
      <name val="Arial"/>
      <family val="2"/>
    </font>
    <font>
      <i/>
      <sz val="10"/>
      <color rgb="FF666666"/>
      <name val="Arial"/>
      <family val="2"/>
    </font>
    <font>
      <b/>
      <sz val="12"/>
      <color rgb="FFE85D2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006100"/>
      <name val="Arial"/>
      <family val="2"/>
    </font>
    <font>
      <b/>
      <sz val="10"/>
      <color rgb="FFFFFFFF"/>
      <name val="Arial"/>
      <family val="2"/>
    </font>
    <font>
      <i/>
      <sz val="9"/>
      <color rgb="FF9C0006"/>
      <name val="Arial"/>
      <family val="2"/>
    </font>
    <font>
      <sz val="10"/>
      <color rgb="FF0000FF"/>
      <name val="Arial"/>
      <family val="2"/>
    </font>
    <font>
      <sz val="10"/>
      <color rgb="FF006100"/>
      <name val="Arial"/>
      <family val="2"/>
    </font>
    <font>
      <b/>
      <i/>
      <sz val="9"/>
      <color rgb="FF9C0006"/>
      <name val="Arial"/>
      <family val="2"/>
    </font>
    <font>
      <b/>
      <sz val="10"/>
      <color rgb="FF9C0006"/>
      <name val="Arial"/>
      <family val="2"/>
    </font>
    <font>
      <i/>
      <sz val="9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A2540"/>
        <bgColor rgb="FF003300"/>
      </patternFill>
    </fill>
    <fill>
      <patternFill patternType="solid">
        <fgColor rgb="FFC6EFCE"/>
        <bgColor rgb="FFDDDDDD"/>
      </patternFill>
    </fill>
    <fill>
      <patternFill patternType="solid">
        <fgColor rgb="FFFFC7CE"/>
        <bgColor rgb="FFDDDDDD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5" fillId="0" borderId="0" xfId="0" applyFont="1"/>
    <xf numFmtId="0" fontId="13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7" fillId="0" borderId="0" xfId="0" applyFont="1"/>
    <xf numFmtId="0" fontId="8" fillId="4" borderId="0" xfId="0" applyFont="1" applyFill="1"/>
    <xf numFmtId="0" fontId="0" fillId="2" borderId="1" xfId="0" applyFill="1" applyBorder="1"/>
    <xf numFmtId="0" fontId="4" fillId="0" borderId="1" xfId="0" applyFont="1" applyBorder="1"/>
    <xf numFmtId="165" fontId="4" fillId="0" borderId="1" xfId="0" applyNumberFormat="1" applyFont="1" applyBorder="1"/>
    <xf numFmtId="0" fontId="9" fillId="3" borderId="2" xfId="0" applyFont="1" applyFill="1" applyBorder="1" applyAlignment="1">
      <alignment horizontal="center" vertical="center" wrapText="1"/>
    </xf>
    <xf numFmtId="165" fontId="0" fillId="0" borderId="0" xfId="0" applyNumberFormat="1"/>
    <xf numFmtId="165" fontId="4" fillId="0" borderId="0" xfId="0" applyNumberFormat="1" applyFont="1"/>
    <xf numFmtId="0" fontId="5" fillId="0" borderId="0" xfId="0" applyFont="1"/>
    <xf numFmtId="0" fontId="11" fillId="0" borderId="0" xfId="0" applyFont="1"/>
    <xf numFmtId="165" fontId="12" fillId="0" borderId="0" xfId="0" applyNumberFormat="1" applyFont="1"/>
    <xf numFmtId="166" fontId="11" fillId="0" borderId="0" xfId="0" applyNumberFormat="1" applyFont="1"/>
    <xf numFmtId="166" fontId="0" fillId="0" borderId="0" xfId="0" applyNumberFormat="1"/>
    <xf numFmtId="0" fontId="0" fillId="2" borderId="0" xfId="0" applyFill="1"/>
    <xf numFmtId="166" fontId="4" fillId="0" borderId="0" xfId="0" applyNumberFormat="1" applyFont="1"/>
    <xf numFmtId="167" fontId="0" fillId="0" borderId="0" xfId="0" applyNumberFormat="1"/>
    <xf numFmtId="167" fontId="4" fillId="0" borderId="0" xfId="0" applyNumberFormat="1" applyFont="1"/>
    <xf numFmtId="0" fontId="12" fillId="0" borderId="2" xfId="0" applyFont="1" applyBorder="1"/>
    <xf numFmtId="164" fontId="12" fillId="4" borderId="2" xfId="0" applyNumberFormat="1" applyFont="1" applyFill="1" applyBorder="1"/>
    <xf numFmtId="0" fontId="12" fillId="4" borderId="2" xfId="0" applyFont="1" applyFill="1" applyBorder="1"/>
    <xf numFmtId="0" fontId="5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2" fillId="0" borderId="0" xfId="0" applyFont="1" applyAlignment="1"/>
    <xf numFmtId="0" fontId="10" fillId="0" borderId="0" xfId="0" applyFont="1" applyAlignment="1"/>
    <xf numFmtId="0" fontId="13" fillId="0" borderId="0" xfId="0" applyFont="1" applyAlignment="1"/>
    <xf numFmtId="0" fontId="14" fillId="5" borderId="0" xfId="0" applyFont="1" applyFill="1" applyAlignment="1"/>
    <xf numFmtId="0" fontId="1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85D26"/>
      <rgbColor rgb="FF666666"/>
      <rgbColor rgb="FF969696"/>
      <rgbColor rgb="FF0A254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showGridLines="0" topLeftCell="A60" zoomScaleNormal="100" workbookViewId="0">
      <selection activeCell="B67" sqref="B67:F67"/>
    </sheetView>
  </sheetViews>
  <sheetFormatPr defaultColWidth="8.5703125" defaultRowHeight="14.45"/>
  <cols>
    <col min="1" max="1" width="32" customWidth="1"/>
    <col min="2" max="2" width="100" customWidth="1"/>
    <col min="3" max="6" width="4" customWidth="1"/>
  </cols>
  <sheetData>
    <row r="1" spans="1:6" ht="19.5" customHeight="1">
      <c r="A1" s="4" t="s">
        <v>0</v>
      </c>
    </row>
    <row r="2" spans="1:6" ht="15" customHeight="1">
      <c r="A2" s="3" t="s">
        <v>1</v>
      </c>
    </row>
    <row r="4" spans="1:6" ht="15" customHeight="1">
      <c r="A4" s="5" t="s">
        <v>2</v>
      </c>
    </row>
    <row r="5" spans="1:6" ht="30" customHeight="1">
      <c r="A5" s="6" t="s">
        <v>3</v>
      </c>
      <c r="B5" s="32" t="s">
        <v>4</v>
      </c>
      <c r="C5" s="32"/>
      <c r="D5" s="32"/>
      <c r="E5" s="32"/>
      <c r="F5" s="32"/>
    </row>
    <row r="6" spans="1:6" ht="30" customHeight="1">
      <c r="A6" s="6" t="s">
        <v>5</v>
      </c>
      <c r="B6" s="32" t="s">
        <v>6</v>
      </c>
      <c r="C6" s="32"/>
      <c r="D6" s="32"/>
      <c r="E6" s="32"/>
      <c r="F6" s="32"/>
    </row>
    <row r="8" spans="1:6" ht="15" customHeight="1">
      <c r="A8" s="5" t="s">
        <v>7</v>
      </c>
    </row>
    <row r="9" spans="1:6" ht="30" customHeight="1">
      <c r="A9" s="6" t="s">
        <v>8</v>
      </c>
      <c r="B9" s="32" t="s">
        <v>9</v>
      </c>
      <c r="C9" s="32"/>
      <c r="D9" s="32"/>
      <c r="E9" s="32"/>
      <c r="F9" s="32"/>
    </row>
    <row r="10" spans="1:6" ht="30" customHeight="1">
      <c r="A10" s="6" t="s">
        <v>10</v>
      </c>
      <c r="B10" s="33" t="s">
        <v>11</v>
      </c>
      <c r="C10" s="33"/>
      <c r="D10" s="33"/>
      <c r="E10" s="33"/>
      <c r="F10" s="33"/>
    </row>
    <row r="11" spans="1:6" ht="30" customHeight="1">
      <c r="A11" s="6" t="s">
        <v>12</v>
      </c>
      <c r="B11" s="32" t="s">
        <v>13</v>
      </c>
      <c r="C11" s="32"/>
      <c r="D11" s="32"/>
      <c r="E11" s="32"/>
      <c r="F11" s="32"/>
    </row>
    <row r="12" spans="1:6" ht="30" customHeight="1">
      <c r="A12" s="6" t="s">
        <v>14</v>
      </c>
      <c r="B12" s="32" t="s">
        <v>15</v>
      </c>
      <c r="C12" s="32"/>
      <c r="D12" s="32"/>
      <c r="E12" s="32"/>
      <c r="F12" s="32"/>
    </row>
    <row r="13" spans="1:6" ht="30" customHeight="1">
      <c r="A13" s="6" t="s">
        <v>16</v>
      </c>
      <c r="B13" s="32" t="s">
        <v>17</v>
      </c>
      <c r="C13" s="32"/>
      <c r="D13" s="32"/>
      <c r="E13" s="32"/>
      <c r="F13" s="32"/>
    </row>
    <row r="14" spans="1:6" ht="30" customHeight="1">
      <c r="A14" s="6" t="s">
        <v>18</v>
      </c>
      <c r="B14" s="32" t="s">
        <v>19</v>
      </c>
      <c r="C14" s="32"/>
      <c r="D14" s="32"/>
      <c r="E14" s="32"/>
      <c r="F14" s="32"/>
    </row>
    <row r="16" spans="1:6" ht="15" customHeight="1">
      <c r="A16" s="5" t="s">
        <v>20</v>
      </c>
    </row>
    <row r="17" spans="1:6" ht="30" customHeight="1">
      <c r="A17" s="6" t="s">
        <v>21</v>
      </c>
      <c r="B17" s="32" t="s">
        <v>22</v>
      </c>
      <c r="C17" s="32"/>
      <c r="D17" s="32"/>
      <c r="E17" s="32"/>
      <c r="F17" s="32"/>
    </row>
    <row r="18" spans="1:6" ht="30" customHeight="1">
      <c r="A18" s="6" t="s">
        <v>23</v>
      </c>
      <c r="B18" s="32" t="s">
        <v>24</v>
      </c>
      <c r="C18" s="32"/>
      <c r="D18" s="32"/>
      <c r="E18" s="32"/>
      <c r="F18" s="32"/>
    </row>
    <row r="19" spans="1:6" ht="30" customHeight="1">
      <c r="A19" s="6" t="s">
        <v>25</v>
      </c>
      <c r="B19" s="32" t="s">
        <v>26</v>
      </c>
      <c r="C19" s="32"/>
      <c r="D19" s="32"/>
      <c r="E19" s="32"/>
      <c r="F19" s="32"/>
    </row>
    <row r="20" spans="1:6" ht="30" customHeight="1">
      <c r="A20" s="6" t="s">
        <v>27</v>
      </c>
      <c r="B20" s="32" t="s">
        <v>26</v>
      </c>
      <c r="C20" s="32"/>
      <c r="D20" s="32"/>
      <c r="E20" s="32"/>
      <c r="F20" s="32"/>
    </row>
    <row r="22" spans="1:6" ht="15" customHeight="1">
      <c r="A22" s="5" t="s">
        <v>28</v>
      </c>
    </row>
    <row r="23" spans="1:6" ht="30" customHeight="1">
      <c r="A23" s="6" t="s">
        <v>29</v>
      </c>
      <c r="B23" s="32" t="s">
        <v>30</v>
      </c>
      <c r="C23" s="32"/>
      <c r="D23" s="32"/>
      <c r="E23" s="32"/>
      <c r="F23" s="32"/>
    </row>
    <row r="24" spans="1:6" ht="30" customHeight="1">
      <c r="A24" s="6" t="s">
        <v>31</v>
      </c>
      <c r="B24" s="32" t="s">
        <v>32</v>
      </c>
      <c r="C24" s="32"/>
      <c r="D24" s="32"/>
      <c r="E24" s="32"/>
      <c r="F24" s="32"/>
    </row>
    <row r="25" spans="1:6" ht="30" customHeight="1">
      <c r="A25" s="6" t="s">
        <v>33</v>
      </c>
      <c r="B25" s="32" t="s">
        <v>34</v>
      </c>
      <c r="C25" s="32"/>
      <c r="D25" s="32"/>
      <c r="E25" s="32"/>
      <c r="F25" s="32"/>
    </row>
    <row r="26" spans="1:6" ht="30" customHeight="1">
      <c r="A26" s="6" t="s">
        <v>35</v>
      </c>
      <c r="B26" s="32" t="s">
        <v>36</v>
      </c>
      <c r="C26" s="32"/>
      <c r="D26" s="32"/>
      <c r="E26" s="32"/>
      <c r="F26" s="32"/>
    </row>
    <row r="28" spans="1:6" ht="15" customHeight="1">
      <c r="A28" s="5" t="s">
        <v>37</v>
      </c>
    </row>
    <row r="29" spans="1:6" ht="30" customHeight="1">
      <c r="A29" s="6" t="s">
        <v>38</v>
      </c>
      <c r="B29" s="32" t="s">
        <v>39</v>
      </c>
      <c r="C29" s="32"/>
      <c r="D29" s="32"/>
      <c r="E29" s="32"/>
      <c r="F29" s="32"/>
    </row>
    <row r="30" spans="1:6" ht="30" customHeight="1">
      <c r="A30" s="6" t="s">
        <v>40</v>
      </c>
      <c r="B30" s="32" t="s">
        <v>41</v>
      </c>
      <c r="C30" s="32"/>
      <c r="D30" s="32"/>
      <c r="E30" s="32"/>
      <c r="F30" s="32"/>
    </row>
    <row r="31" spans="1:6" ht="30" customHeight="1">
      <c r="A31" s="6" t="s">
        <v>42</v>
      </c>
      <c r="B31" s="32" t="s">
        <v>43</v>
      </c>
      <c r="C31" s="32"/>
      <c r="D31" s="32"/>
      <c r="E31" s="32"/>
      <c r="F31" s="32"/>
    </row>
    <row r="33" spans="1:6" ht="15" customHeight="1">
      <c r="A33" s="5" t="s">
        <v>44</v>
      </c>
    </row>
    <row r="34" spans="1:6" ht="30" customHeight="1">
      <c r="A34" s="6" t="s">
        <v>45</v>
      </c>
      <c r="B34" s="32" t="s">
        <v>46</v>
      </c>
      <c r="C34" s="32"/>
      <c r="D34" s="32"/>
      <c r="E34" s="32"/>
      <c r="F34" s="32"/>
    </row>
    <row r="36" spans="1:6" ht="15" customHeight="1">
      <c r="A36" s="5" t="s">
        <v>47</v>
      </c>
    </row>
    <row r="37" spans="1:6" ht="30" customHeight="1">
      <c r="A37" s="6" t="s">
        <v>48</v>
      </c>
      <c r="B37" s="32" t="s">
        <v>49</v>
      </c>
      <c r="C37" s="32"/>
      <c r="D37" s="32"/>
      <c r="E37" s="32"/>
      <c r="F37" s="32"/>
    </row>
    <row r="38" spans="1:6" ht="30" customHeight="1">
      <c r="A38" s="6" t="s">
        <v>50</v>
      </c>
      <c r="B38" s="32" t="s">
        <v>51</v>
      </c>
      <c r="C38" s="32"/>
      <c r="D38" s="32"/>
      <c r="E38" s="32"/>
      <c r="F38" s="32"/>
    </row>
    <row r="39" spans="1:6" ht="30" customHeight="1">
      <c r="A39" s="6" t="s">
        <v>52</v>
      </c>
      <c r="B39" s="33" t="s">
        <v>53</v>
      </c>
      <c r="C39" s="33"/>
      <c r="D39" s="33"/>
      <c r="E39" s="33"/>
      <c r="F39" s="33"/>
    </row>
    <row r="40" spans="1:6" ht="30" customHeight="1">
      <c r="A40" s="6"/>
      <c r="B40" s="32"/>
      <c r="C40" s="32"/>
      <c r="D40" s="32"/>
      <c r="E40" s="32"/>
      <c r="F40" s="32"/>
    </row>
    <row r="42" spans="1:6" ht="15" customHeight="1">
      <c r="A42" s="5" t="s">
        <v>54</v>
      </c>
    </row>
    <row r="43" spans="1:6" ht="30" customHeight="1">
      <c r="A43" s="6" t="s">
        <v>55</v>
      </c>
      <c r="B43" s="33" t="s">
        <v>56</v>
      </c>
      <c r="C43" s="33"/>
      <c r="D43" s="33"/>
      <c r="E43" s="33"/>
      <c r="F43" s="33"/>
    </row>
    <row r="44" spans="1:6" ht="30" customHeight="1">
      <c r="A44" s="6" t="s">
        <v>57</v>
      </c>
      <c r="B44" s="33" t="s">
        <v>58</v>
      </c>
      <c r="C44" s="33"/>
      <c r="D44" s="33"/>
      <c r="E44" s="33"/>
      <c r="F44" s="33"/>
    </row>
    <row r="46" spans="1:6" ht="15" customHeight="1">
      <c r="A46" s="5" t="s">
        <v>59</v>
      </c>
    </row>
    <row r="47" spans="1:6" ht="48.95" customHeight="1">
      <c r="A47" s="6" t="s">
        <v>60</v>
      </c>
      <c r="B47" s="33" t="s">
        <v>61</v>
      </c>
      <c r="C47" s="33"/>
      <c r="D47" s="33"/>
      <c r="E47" s="33"/>
      <c r="F47" s="33"/>
    </row>
    <row r="49" spans="1:6" ht="15" customHeight="1">
      <c r="A49" s="5" t="s">
        <v>62</v>
      </c>
    </row>
    <row r="50" spans="1:6" ht="30" customHeight="1">
      <c r="A50" s="6" t="s">
        <v>8</v>
      </c>
      <c r="B50" s="32" t="s">
        <v>63</v>
      </c>
      <c r="C50" s="32"/>
      <c r="D50" s="32"/>
      <c r="E50" s="32"/>
      <c r="F50" s="32"/>
    </row>
    <row r="51" spans="1:6" ht="54" customHeight="1">
      <c r="A51" s="6" t="s">
        <v>64</v>
      </c>
      <c r="B51" s="32" t="s">
        <v>65</v>
      </c>
      <c r="C51" s="32"/>
      <c r="D51" s="32"/>
      <c r="E51" s="32"/>
      <c r="F51" s="32"/>
    </row>
    <row r="52" spans="1:6" ht="30" customHeight="1">
      <c r="A52" s="6" t="s">
        <v>66</v>
      </c>
      <c r="B52" s="32" t="s">
        <v>67</v>
      </c>
      <c r="C52" s="32"/>
      <c r="D52" s="32"/>
      <c r="E52" s="32"/>
      <c r="F52" s="32"/>
    </row>
    <row r="53" spans="1:6" ht="30" customHeight="1">
      <c r="A53" s="6" t="s">
        <v>68</v>
      </c>
      <c r="B53" s="32" t="s">
        <v>69</v>
      </c>
      <c r="C53" s="32"/>
      <c r="D53" s="32"/>
      <c r="E53" s="32"/>
      <c r="F53" s="32"/>
    </row>
    <row r="54" spans="1:6" ht="30" customHeight="1">
      <c r="A54" s="6" t="s">
        <v>70</v>
      </c>
      <c r="B54" s="32" t="s">
        <v>71</v>
      </c>
      <c r="C54" s="32"/>
      <c r="D54" s="32"/>
      <c r="E54" s="32"/>
      <c r="F54" s="32"/>
    </row>
    <row r="55" spans="1:6" ht="30" customHeight="1">
      <c r="A55" s="6" t="s">
        <v>72</v>
      </c>
      <c r="B55" s="32" t="s">
        <v>73</v>
      </c>
      <c r="C55" s="32"/>
      <c r="D55" s="32"/>
      <c r="E55" s="32"/>
      <c r="F55" s="32"/>
    </row>
    <row r="57" spans="1:6" ht="15" customHeight="1">
      <c r="A57" s="5" t="s">
        <v>74</v>
      </c>
    </row>
    <row r="58" spans="1:6" ht="30" customHeight="1">
      <c r="A58" s="6" t="s">
        <v>75</v>
      </c>
      <c r="B58" s="32" t="s">
        <v>76</v>
      </c>
      <c r="C58" s="32"/>
      <c r="D58" s="32"/>
      <c r="E58" s="32"/>
      <c r="F58" s="32"/>
    </row>
    <row r="59" spans="1:6" ht="30" customHeight="1">
      <c r="A59" s="6" t="s">
        <v>77</v>
      </c>
      <c r="B59" s="32" t="s">
        <v>78</v>
      </c>
      <c r="C59" s="32"/>
      <c r="D59" s="32"/>
      <c r="E59" s="32"/>
      <c r="F59" s="32"/>
    </row>
    <row r="60" spans="1:6" ht="30" customHeight="1">
      <c r="A60" s="6" t="s">
        <v>79</v>
      </c>
      <c r="B60" s="32" t="s">
        <v>80</v>
      </c>
      <c r="C60" s="32"/>
      <c r="D60" s="32"/>
      <c r="E60" s="32"/>
      <c r="F60" s="32"/>
    </row>
    <row r="61" spans="1:6" ht="30" customHeight="1">
      <c r="A61" s="6" t="s">
        <v>81</v>
      </c>
      <c r="B61" s="32" t="s">
        <v>82</v>
      </c>
      <c r="C61" s="32"/>
      <c r="D61" s="32"/>
      <c r="E61" s="32"/>
      <c r="F61" s="32"/>
    </row>
    <row r="62" spans="1:6" ht="30" customHeight="1">
      <c r="A62" s="6" t="s">
        <v>83</v>
      </c>
      <c r="B62" s="32" t="s">
        <v>84</v>
      </c>
      <c r="C62" s="32"/>
      <c r="D62" s="32"/>
      <c r="E62" s="32"/>
      <c r="F62" s="32"/>
    </row>
    <row r="64" spans="1:6" ht="15" customHeight="1">
      <c r="A64" s="5" t="s">
        <v>85</v>
      </c>
    </row>
    <row r="65" spans="1:6" ht="39.75" customHeight="1">
      <c r="A65" s="6" t="s">
        <v>86</v>
      </c>
      <c r="B65" s="32" t="s">
        <v>87</v>
      </c>
      <c r="C65" s="32"/>
      <c r="D65" s="32"/>
      <c r="E65" s="32"/>
      <c r="F65" s="32"/>
    </row>
    <row r="66" spans="1:6" ht="39.75" customHeight="1">
      <c r="A66" s="6" t="s">
        <v>88</v>
      </c>
      <c r="B66" s="32" t="s">
        <v>89</v>
      </c>
      <c r="C66" s="32"/>
      <c r="D66" s="32"/>
      <c r="E66" s="32"/>
      <c r="F66" s="32"/>
    </row>
    <row r="67" spans="1:6" ht="39.75" customHeight="1">
      <c r="A67" s="6" t="s">
        <v>90</v>
      </c>
      <c r="B67" s="32" t="s">
        <v>91</v>
      </c>
      <c r="C67" s="32"/>
      <c r="D67" s="32"/>
      <c r="E67" s="32"/>
      <c r="F67" s="32"/>
    </row>
  </sheetData>
  <mergeCells count="41">
    <mergeCell ref="B67:F67"/>
    <mergeCell ref="B60:F60"/>
    <mergeCell ref="B61:F61"/>
    <mergeCell ref="B62:F62"/>
    <mergeCell ref="B65:F65"/>
    <mergeCell ref="B66:F66"/>
    <mergeCell ref="B53:F53"/>
    <mergeCell ref="B54:F54"/>
    <mergeCell ref="B55:F55"/>
    <mergeCell ref="B58:F58"/>
    <mergeCell ref="B59:F59"/>
    <mergeCell ref="B44:F44"/>
    <mergeCell ref="B47:F47"/>
    <mergeCell ref="B50:F50"/>
    <mergeCell ref="B51:F51"/>
    <mergeCell ref="B52:F52"/>
    <mergeCell ref="B37:F37"/>
    <mergeCell ref="B38:F38"/>
    <mergeCell ref="B39:F39"/>
    <mergeCell ref="B40:F40"/>
    <mergeCell ref="B43:F43"/>
    <mergeCell ref="B26:F26"/>
    <mergeCell ref="B29:F29"/>
    <mergeCell ref="B30:F30"/>
    <mergeCell ref="B31:F31"/>
    <mergeCell ref="B34:F34"/>
    <mergeCell ref="B19:F19"/>
    <mergeCell ref="B20:F20"/>
    <mergeCell ref="B23:F23"/>
    <mergeCell ref="B24:F24"/>
    <mergeCell ref="B25:F25"/>
    <mergeCell ref="B12:F12"/>
    <mergeCell ref="B13:F13"/>
    <mergeCell ref="B14:F14"/>
    <mergeCell ref="B17:F17"/>
    <mergeCell ref="B18:F18"/>
    <mergeCell ref="B5:F5"/>
    <mergeCell ref="B6:F6"/>
    <mergeCell ref="B9:F9"/>
    <mergeCell ref="B10:F10"/>
    <mergeCell ref="B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5"/>
  <sheetViews>
    <sheetView showGridLines="0"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5703125" defaultRowHeight="14.45"/>
  <cols>
    <col min="1" max="1" width="4" customWidth="1"/>
    <col min="2" max="2" width="42" customWidth="1"/>
    <col min="3" max="3" width="12" customWidth="1"/>
    <col min="4" max="4" width="20" customWidth="1"/>
    <col min="5" max="5" width="10" customWidth="1"/>
    <col min="6" max="6" width="11" customWidth="1"/>
    <col min="7" max="7" width="10" customWidth="1"/>
    <col min="8" max="9" width="11" customWidth="1"/>
    <col min="10" max="10" width="9" customWidth="1"/>
    <col min="11" max="11" width="16" customWidth="1"/>
    <col min="12" max="12" width="15" customWidth="1"/>
    <col min="13" max="13" width="10" customWidth="1"/>
    <col min="14" max="14" width="11" customWidth="1"/>
    <col min="15" max="17" width="13" customWidth="1"/>
    <col min="18" max="18" width="12" customWidth="1"/>
    <col min="19" max="19" width="13" customWidth="1"/>
    <col min="20" max="20" width="60" customWidth="1"/>
    <col min="21" max="21" width="16" customWidth="1"/>
    <col min="22" max="23" width="10" customWidth="1"/>
    <col min="24" max="24" width="70" customWidth="1"/>
    <col min="26" max="26" width="32" customWidth="1"/>
  </cols>
  <sheetData>
    <row r="1" spans="1:26" ht="19.5" customHeight="1">
      <c r="A1" s="4" t="s">
        <v>92</v>
      </c>
    </row>
    <row r="2" spans="1:26" ht="15" customHeight="1">
      <c r="A2" s="3" t="s">
        <v>93</v>
      </c>
    </row>
    <row r="4" spans="1:26" ht="21.75" customHeight="1">
      <c r="A4" s="7" t="s">
        <v>94</v>
      </c>
      <c r="B4" s="7" t="s">
        <v>95</v>
      </c>
      <c r="C4" s="7" t="s">
        <v>96</v>
      </c>
      <c r="D4" s="7" t="s">
        <v>97</v>
      </c>
      <c r="E4" s="7" t="s">
        <v>98</v>
      </c>
      <c r="F4" s="7" t="s">
        <v>99</v>
      </c>
      <c r="G4" s="7" t="s">
        <v>100</v>
      </c>
      <c r="H4" s="7" t="s">
        <v>101</v>
      </c>
      <c r="I4" s="7" t="s">
        <v>102</v>
      </c>
      <c r="J4" s="7" t="s">
        <v>103</v>
      </c>
      <c r="K4" s="7" t="s">
        <v>104</v>
      </c>
      <c r="L4" s="7" t="s">
        <v>105</v>
      </c>
      <c r="M4" s="7" t="s">
        <v>106</v>
      </c>
      <c r="N4" s="7" t="s">
        <v>107</v>
      </c>
      <c r="O4" s="7" t="s">
        <v>108</v>
      </c>
      <c r="P4" s="7" t="s">
        <v>109</v>
      </c>
      <c r="Q4" s="7" t="s">
        <v>110</v>
      </c>
      <c r="R4" s="7" t="s">
        <v>111</v>
      </c>
      <c r="S4" s="7" t="s">
        <v>112</v>
      </c>
      <c r="T4" s="7" t="s">
        <v>113</v>
      </c>
      <c r="U4" s="8" t="s">
        <v>114</v>
      </c>
      <c r="V4" s="8" t="s">
        <v>115</v>
      </c>
      <c r="W4" s="8" t="s">
        <v>116</v>
      </c>
      <c r="X4" s="8" t="s">
        <v>117</v>
      </c>
      <c r="Y4" s="8" t="s">
        <v>118</v>
      </c>
      <c r="Z4" s="8" t="s">
        <v>119</v>
      </c>
    </row>
    <row r="5" spans="1:26" ht="15" customHeight="1">
      <c r="A5" s="9">
        <v>1</v>
      </c>
      <c r="B5" s="9" t="s">
        <v>120</v>
      </c>
      <c r="C5" s="9" t="s">
        <v>121</v>
      </c>
      <c r="D5" s="9" t="s">
        <v>122</v>
      </c>
      <c r="E5" s="9">
        <v>2</v>
      </c>
      <c r="F5" s="9">
        <v>8</v>
      </c>
      <c r="G5" s="9">
        <v>128</v>
      </c>
      <c r="H5" s="9">
        <v>256</v>
      </c>
      <c r="I5" s="9">
        <f t="shared" ref="I5:I36" si="0">G5+H5</f>
        <v>384</v>
      </c>
      <c r="J5" s="9" t="s">
        <v>123</v>
      </c>
      <c r="K5" s="9" t="s">
        <v>124</v>
      </c>
      <c r="L5" s="9" t="s">
        <v>125</v>
      </c>
      <c r="M5" s="9">
        <f>IF(L5="3-Yr No Upfront",'Pricing Inputs'!$B$29,'Pricing Inputs'!$B$30)</f>
        <v>730</v>
      </c>
      <c r="N5" s="10">
        <f>IF(U5="m7a.2xlarge",IF(L5="3-Yr No Upfront",'Pricing Inputs'!$E$18,'Pricing Inputs'!$D$18),IFERROR(INDEX('Pricing Inputs'!$D$6:$G$14,MATCH(U5,'Pricing Inputs'!$A$6:$A$14,0),IF(L5="3-Yr No Upfront",IF(J5="Windows",4,3),IF(J5="Windows",2,1))),"CHECK"))</f>
        <v>5.3830000000000003E-2</v>
      </c>
      <c r="O5" s="11">
        <f t="shared" ref="O5:O36" si="1">M5*N5</f>
        <v>39.295900000000003</v>
      </c>
      <c r="P5" s="11">
        <f>I5*'Pricing Inputs'!$B$22</f>
        <v>36.556800000000003</v>
      </c>
      <c r="Q5" s="11">
        <f>I5*'Pricing Inputs'!$B$24*IF(OR(C5="Prod",C5="Prod/UAT/Dev"),'Pricing Inputs'!$B$31,'Pricing Inputs'!$B$32)</f>
        <v>28.800000000000004</v>
      </c>
      <c r="R5" s="11">
        <f>IF(Y5="Yes",('Pricing Inputs'!$B$25*'Pricing Inputs'!$B$29)+(I5*'Pricing Inputs'!$B$26*'Pricing Inputs'!$B$23),0)</f>
        <v>27.198400000000003</v>
      </c>
      <c r="S5" s="11">
        <f t="shared" ref="S5:S36" si="2">O5+P5+Q5+R5</f>
        <v>131.8511</v>
      </c>
      <c r="T5" s="9"/>
      <c r="U5" s="12" t="s">
        <v>124</v>
      </c>
      <c r="V5" s="12">
        <v>2</v>
      </c>
      <c r="W5" s="12">
        <v>8</v>
      </c>
      <c r="X5" t="s">
        <v>126</v>
      </c>
      <c r="Y5" t="s">
        <v>127</v>
      </c>
      <c r="Z5" t="s">
        <v>128</v>
      </c>
    </row>
    <row r="6" spans="1:26" ht="15" customHeight="1">
      <c r="A6" s="9">
        <v>2</v>
      </c>
      <c r="B6" s="9" t="s">
        <v>129</v>
      </c>
      <c r="C6" s="9" t="s">
        <v>121</v>
      </c>
      <c r="D6" s="9" t="s">
        <v>130</v>
      </c>
      <c r="E6" s="9">
        <v>4</v>
      </c>
      <c r="F6" s="9">
        <v>16</v>
      </c>
      <c r="G6" s="9">
        <v>127</v>
      </c>
      <c r="H6" s="9">
        <v>32</v>
      </c>
      <c r="I6" s="9">
        <f t="shared" si="0"/>
        <v>159</v>
      </c>
      <c r="J6" s="9" t="s">
        <v>131</v>
      </c>
      <c r="K6" s="9" t="s">
        <v>132</v>
      </c>
      <c r="L6" s="9" t="s">
        <v>125</v>
      </c>
      <c r="M6" s="9">
        <f>IF(L6="3-Yr No Upfront",'Pricing Inputs'!$B$29,'Pricing Inputs'!$B$30)</f>
        <v>730</v>
      </c>
      <c r="N6" s="10">
        <f>IF(U6="m7a.2xlarge",IF(L6="3-Yr No Upfront",'Pricing Inputs'!$E$18,'Pricing Inputs'!$D$18),IFERROR(INDEX('Pricing Inputs'!$D$6:$G$14,MATCH(U6,'Pricing Inputs'!$A$6:$A$14,0),IF(L6="3-Yr No Upfront",IF(J6="Windows",4,3),IF(J6="Windows",2,1))),"CHECK"))</f>
        <v>0.14582999999999999</v>
      </c>
      <c r="O6" s="11">
        <f t="shared" si="1"/>
        <v>106.45589999999999</v>
      </c>
      <c r="P6" s="11">
        <f>I6*'Pricing Inputs'!$B$22</f>
        <v>15.136800000000001</v>
      </c>
      <c r="Q6" s="11">
        <f>I6*'Pricing Inputs'!$B$24*IF(OR(C6="Prod",C6="Prod/UAT/Dev"),'Pricing Inputs'!$B$31,'Pricing Inputs'!$B$32)</f>
        <v>11.925000000000001</v>
      </c>
      <c r="R6" s="11">
        <f>IF(Y6="Yes",('Pricing Inputs'!$B$25*'Pricing Inputs'!$B$29)+(I6*'Pricing Inputs'!$B$26*'Pricing Inputs'!$B$23),0)</f>
        <v>23.238400000000002</v>
      </c>
      <c r="S6" s="11">
        <f t="shared" si="2"/>
        <v>156.7561</v>
      </c>
      <c r="T6" s="9"/>
      <c r="U6" s="13" t="s">
        <v>124</v>
      </c>
      <c r="V6" s="13">
        <v>2</v>
      </c>
      <c r="W6" s="13">
        <v>8</v>
      </c>
      <c r="X6" t="s">
        <v>133</v>
      </c>
      <c r="Y6" t="s">
        <v>127</v>
      </c>
      <c r="Z6" t="s">
        <v>134</v>
      </c>
    </row>
    <row r="7" spans="1:26" ht="15" customHeight="1">
      <c r="A7" s="9">
        <v>3</v>
      </c>
      <c r="B7" s="9" t="s">
        <v>135</v>
      </c>
      <c r="C7" s="9" t="s">
        <v>40</v>
      </c>
      <c r="D7" s="9" t="s">
        <v>122</v>
      </c>
      <c r="E7" s="9">
        <v>2</v>
      </c>
      <c r="F7" s="9">
        <v>7.95</v>
      </c>
      <c r="G7" s="9">
        <v>256</v>
      </c>
      <c r="H7" s="9">
        <v>0</v>
      </c>
      <c r="I7" s="9">
        <f t="shared" si="0"/>
        <v>256</v>
      </c>
      <c r="J7" s="9" t="s">
        <v>131</v>
      </c>
      <c r="K7" s="9" t="s">
        <v>124</v>
      </c>
      <c r="L7" s="9" t="s">
        <v>136</v>
      </c>
      <c r="M7" s="9">
        <f>IF(L7="3-Yr No Upfront",'Pricing Inputs'!$B$29,'Pricing Inputs'!$B$30)</f>
        <v>260</v>
      </c>
      <c r="N7" s="10">
        <f>IF(U7="m7a.2xlarge",IF(L7="3-Yr No Upfront",'Pricing Inputs'!$E$18,'Pricing Inputs'!$D$18),IFERROR(INDEX('Pricing Inputs'!$D$6:$G$14,MATCH(U7,'Pricing Inputs'!$A$6:$A$14,0),IF(L7="3-Yr No Upfront",IF(J7="Windows",4,3),IF(J7="Windows",2,1))),"CHECK"))</f>
        <v>0.19550000000000001</v>
      </c>
      <c r="O7" s="11">
        <f t="shared" si="1"/>
        <v>50.83</v>
      </c>
      <c r="P7" s="11">
        <f>I7*'Pricing Inputs'!$B$22</f>
        <v>24.371200000000002</v>
      </c>
      <c r="Q7" s="11">
        <f>I7*'Pricing Inputs'!$B$24*IF(OR(C7="Prod",C7="Prod/UAT/Dev"),'Pricing Inputs'!$B$31,'Pricing Inputs'!$B$32)</f>
        <v>15.36</v>
      </c>
      <c r="R7" s="11">
        <f>IF(Y7="Yes",('Pricing Inputs'!$B$25*'Pricing Inputs'!$B$29)+(I7*'Pricing Inputs'!$B$26*'Pricing Inputs'!$B$23),0)</f>
        <v>0</v>
      </c>
      <c r="S7" s="11">
        <f t="shared" si="2"/>
        <v>90.561199999999999</v>
      </c>
      <c r="T7" s="9"/>
      <c r="U7" s="12" t="s">
        <v>124</v>
      </c>
      <c r="V7" s="12">
        <v>2</v>
      </c>
      <c r="W7" s="12">
        <v>7.95</v>
      </c>
      <c r="X7" t="s">
        <v>137</v>
      </c>
      <c r="Y7" t="s">
        <v>138</v>
      </c>
      <c r="Z7" t="s">
        <v>134</v>
      </c>
    </row>
    <row r="8" spans="1:26" ht="15" customHeight="1">
      <c r="A8" s="9">
        <v>4</v>
      </c>
      <c r="B8" s="9" t="s">
        <v>139</v>
      </c>
      <c r="C8" s="9" t="s">
        <v>40</v>
      </c>
      <c r="D8" s="9" t="s">
        <v>122</v>
      </c>
      <c r="E8" s="9">
        <v>2</v>
      </c>
      <c r="F8" s="9">
        <v>7.95</v>
      </c>
      <c r="G8" s="9">
        <v>256</v>
      </c>
      <c r="H8" s="9">
        <v>0</v>
      </c>
      <c r="I8" s="9">
        <f t="shared" si="0"/>
        <v>256</v>
      </c>
      <c r="J8" s="9" t="s">
        <v>131</v>
      </c>
      <c r="K8" s="9" t="s">
        <v>124</v>
      </c>
      <c r="L8" s="9" t="s">
        <v>136</v>
      </c>
      <c r="M8" s="9">
        <f>IF(L8="3-Yr No Upfront",'Pricing Inputs'!$B$29,'Pricing Inputs'!$B$30)</f>
        <v>260</v>
      </c>
      <c r="N8" s="10">
        <f>IF(U8="m7a.2xlarge",IF(L8="3-Yr No Upfront",'Pricing Inputs'!$E$18,'Pricing Inputs'!$D$18),IFERROR(INDEX('Pricing Inputs'!$D$6:$G$14,MATCH(U8,'Pricing Inputs'!$A$6:$A$14,0),IF(L8="3-Yr No Upfront",IF(J8="Windows",4,3),IF(J8="Windows",2,1))),"CHECK"))</f>
        <v>0.19550000000000001</v>
      </c>
      <c r="O8" s="11">
        <f t="shared" si="1"/>
        <v>50.83</v>
      </c>
      <c r="P8" s="11">
        <f>I8*'Pricing Inputs'!$B$22</f>
        <v>24.371200000000002</v>
      </c>
      <c r="Q8" s="11">
        <f>I8*'Pricing Inputs'!$B$24*IF(OR(C8="Prod",C8="Prod/UAT/Dev"),'Pricing Inputs'!$B$31,'Pricing Inputs'!$B$32)</f>
        <v>15.36</v>
      </c>
      <c r="R8" s="11">
        <f>IF(Y8="Yes",('Pricing Inputs'!$B$25*'Pricing Inputs'!$B$29)+(I8*'Pricing Inputs'!$B$26*'Pricing Inputs'!$B$23),0)</f>
        <v>0</v>
      </c>
      <c r="S8" s="11">
        <f t="shared" si="2"/>
        <v>90.561199999999999</v>
      </c>
      <c r="T8" s="9"/>
      <c r="U8" s="12" t="s">
        <v>124</v>
      </c>
      <c r="V8" s="12">
        <v>2</v>
      </c>
      <c r="W8" s="12">
        <v>7.95</v>
      </c>
      <c r="X8" t="s">
        <v>140</v>
      </c>
      <c r="Y8" t="s">
        <v>138</v>
      </c>
      <c r="Z8" t="s">
        <v>134</v>
      </c>
    </row>
    <row r="9" spans="1:26" ht="15" customHeight="1">
      <c r="A9" s="9">
        <v>5</v>
      </c>
      <c r="B9" s="9" t="s">
        <v>141</v>
      </c>
      <c r="C9" s="9" t="s">
        <v>142</v>
      </c>
      <c r="D9" s="9" t="s">
        <v>143</v>
      </c>
      <c r="E9" s="9">
        <v>4</v>
      </c>
      <c r="F9" s="9">
        <v>16</v>
      </c>
      <c r="G9" s="9">
        <v>256</v>
      </c>
      <c r="H9" s="9">
        <v>0</v>
      </c>
      <c r="I9" s="9">
        <f t="shared" si="0"/>
        <v>256</v>
      </c>
      <c r="J9" s="9" t="s">
        <v>131</v>
      </c>
      <c r="K9" s="9" t="s">
        <v>132</v>
      </c>
      <c r="L9" s="9" t="s">
        <v>125</v>
      </c>
      <c r="M9" s="9">
        <f>IF(L9="3-Yr No Upfront",'Pricing Inputs'!$B$29,'Pricing Inputs'!$B$30)</f>
        <v>730</v>
      </c>
      <c r="N9" s="10">
        <f>IF(U9="m7a.2xlarge",IF(L9="3-Yr No Upfront",'Pricing Inputs'!$E$18,'Pricing Inputs'!$D$18),IFERROR(INDEX('Pricing Inputs'!$D$6:$G$14,MATCH(U9,'Pricing Inputs'!$A$6:$A$14,0),IF(L9="3-Yr No Upfront",IF(J9="Windows",4,3),IF(J9="Windows",2,1))),"CHECK"))</f>
        <v>0.29166999999999998</v>
      </c>
      <c r="O9" s="11">
        <f t="shared" si="1"/>
        <v>212.91909999999999</v>
      </c>
      <c r="P9" s="11">
        <f>I9*'Pricing Inputs'!$B$22</f>
        <v>24.371200000000002</v>
      </c>
      <c r="Q9" s="11">
        <f>I9*'Pricing Inputs'!$B$24*IF(OR(C9="Prod",C9="Prod/UAT/Dev"),'Pricing Inputs'!$B$31,'Pricing Inputs'!$B$32)</f>
        <v>19.200000000000003</v>
      </c>
      <c r="R9" s="11">
        <f>IF(Y9="Yes",('Pricing Inputs'!$B$25*'Pricing Inputs'!$B$29)+(I9*'Pricing Inputs'!$B$26*'Pricing Inputs'!$B$23),0)</f>
        <v>0</v>
      </c>
      <c r="S9" s="11">
        <f t="shared" si="2"/>
        <v>256.49029999999999</v>
      </c>
      <c r="T9" s="9"/>
      <c r="U9" s="12" t="s">
        <v>132</v>
      </c>
      <c r="V9" s="12">
        <v>4</v>
      </c>
      <c r="W9" s="12">
        <v>16</v>
      </c>
      <c r="X9" t="s">
        <v>144</v>
      </c>
      <c r="Y9" t="s">
        <v>138</v>
      </c>
      <c r="Z9" t="s">
        <v>134</v>
      </c>
    </row>
    <row r="10" spans="1:26" ht="15" customHeight="1">
      <c r="A10" s="9">
        <v>6</v>
      </c>
      <c r="B10" s="9" t="s">
        <v>145</v>
      </c>
      <c r="C10" s="9" t="s">
        <v>142</v>
      </c>
      <c r="D10" s="9" t="s">
        <v>143</v>
      </c>
      <c r="E10" s="9">
        <v>4</v>
      </c>
      <c r="F10" s="9">
        <v>16</v>
      </c>
      <c r="G10" s="9">
        <v>256</v>
      </c>
      <c r="H10" s="9">
        <v>0</v>
      </c>
      <c r="I10" s="9">
        <f t="shared" si="0"/>
        <v>256</v>
      </c>
      <c r="J10" s="9" t="s">
        <v>131</v>
      </c>
      <c r="K10" s="9" t="s">
        <v>132</v>
      </c>
      <c r="L10" s="9" t="s">
        <v>125</v>
      </c>
      <c r="M10" s="9">
        <f>IF(L10="3-Yr No Upfront",'Pricing Inputs'!$B$29,'Pricing Inputs'!$B$30)</f>
        <v>730</v>
      </c>
      <c r="N10" s="10">
        <f>IF(U10="m7a.2xlarge",IF(L10="3-Yr No Upfront",'Pricing Inputs'!$E$18,'Pricing Inputs'!$D$18),IFERROR(INDEX('Pricing Inputs'!$D$6:$G$14,MATCH(U10,'Pricing Inputs'!$A$6:$A$14,0),IF(L10="3-Yr No Upfront",IF(J10="Windows",4,3),IF(J10="Windows",2,1))),"CHECK"))</f>
        <v>0.16336000000000001</v>
      </c>
      <c r="O10" s="11">
        <f t="shared" si="1"/>
        <v>119.25280000000001</v>
      </c>
      <c r="P10" s="11">
        <f>I10*'Pricing Inputs'!$B$22</f>
        <v>24.371200000000002</v>
      </c>
      <c r="Q10" s="11">
        <f>I10*'Pricing Inputs'!$B$24*IF(OR(C10="Prod",C10="Prod/UAT/Dev"),'Pricing Inputs'!$B$31,'Pricing Inputs'!$B$32)</f>
        <v>19.200000000000003</v>
      </c>
      <c r="R10" s="11">
        <f>IF(Y10="Yes",('Pricing Inputs'!$B$25*'Pricing Inputs'!$B$29)+(I10*'Pricing Inputs'!$B$26*'Pricing Inputs'!$B$23),0)</f>
        <v>0</v>
      </c>
      <c r="S10" s="11">
        <f t="shared" si="2"/>
        <v>162.82400000000001</v>
      </c>
      <c r="T10" s="9"/>
      <c r="U10" s="13" t="s">
        <v>146</v>
      </c>
      <c r="V10" s="13">
        <v>2</v>
      </c>
      <c r="W10" s="13">
        <v>16</v>
      </c>
      <c r="X10" t="s">
        <v>147</v>
      </c>
      <c r="Y10" t="s">
        <v>138</v>
      </c>
      <c r="Z10" t="s">
        <v>134</v>
      </c>
    </row>
    <row r="11" spans="1:26" ht="15" customHeight="1">
      <c r="A11" s="9">
        <v>7</v>
      </c>
      <c r="B11" s="9" t="s">
        <v>148</v>
      </c>
      <c r="C11" s="9" t="s">
        <v>142</v>
      </c>
      <c r="D11" s="9" t="s">
        <v>143</v>
      </c>
      <c r="E11" s="9">
        <v>4</v>
      </c>
      <c r="F11" s="9">
        <v>16</v>
      </c>
      <c r="G11" s="9">
        <v>256</v>
      </c>
      <c r="H11" s="9">
        <v>0</v>
      </c>
      <c r="I11" s="9">
        <f t="shared" si="0"/>
        <v>256</v>
      </c>
      <c r="J11" s="9" t="s">
        <v>131</v>
      </c>
      <c r="K11" s="9" t="s">
        <v>132</v>
      </c>
      <c r="L11" s="9" t="s">
        <v>125</v>
      </c>
      <c r="M11" s="9">
        <f>IF(L11="3-Yr No Upfront",'Pricing Inputs'!$B$29,'Pricing Inputs'!$B$30)</f>
        <v>730</v>
      </c>
      <c r="N11" s="10">
        <f>IF(U11="m7a.2xlarge",IF(L11="3-Yr No Upfront",'Pricing Inputs'!$E$18,'Pricing Inputs'!$D$18),IFERROR(INDEX('Pricing Inputs'!$D$6:$G$14,MATCH(U11,'Pricing Inputs'!$A$6:$A$14,0),IF(L11="3-Yr No Upfront",IF(J11="Windows",4,3),IF(J11="Windows",2,1))),"CHECK"))</f>
        <v>0.16336000000000001</v>
      </c>
      <c r="O11" s="11">
        <f t="shared" si="1"/>
        <v>119.25280000000001</v>
      </c>
      <c r="P11" s="11">
        <f>I11*'Pricing Inputs'!$B$22</f>
        <v>24.371200000000002</v>
      </c>
      <c r="Q11" s="11">
        <f>I11*'Pricing Inputs'!$B$24*IF(OR(C11="Prod",C11="Prod/UAT/Dev"),'Pricing Inputs'!$B$31,'Pricing Inputs'!$B$32)</f>
        <v>19.200000000000003</v>
      </c>
      <c r="R11" s="11">
        <f>IF(Y11="Yes",('Pricing Inputs'!$B$25*'Pricing Inputs'!$B$29)+(I11*'Pricing Inputs'!$B$26*'Pricing Inputs'!$B$23),0)</f>
        <v>0</v>
      </c>
      <c r="S11" s="11">
        <f t="shared" si="2"/>
        <v>162.82400000000001</v>
      </c>
      <c r="T11" s="9"/>
      <c r="U11" s="13" t="s">
        <v>146</v>
      </c>
      <c r="V11" s="13">
        <v>2</v>
      </c>
      <c r="W11" s="13">
        <v>16</v>
      </c>
      <c r="X11" t="s">
        <v>149</v>
      </c>
      <c r="Y11" t="s">
        <v>138</v>
      </c>
      <c r="Z11" t="s">
        <v>134</v>
      </c>
    </row>
    <row r="12" spans="1:26" ht="15" customHeight="1">
      <c r="A12" s="9">
        <v>8</v>
      </c>
      <c r="B12" s="9" t="s">
        <v>150</v>
      </c>
      <c r="C12" s="9" t="s">
        <v>142</v>
      </c>
      <c r="D12" s="9" t="s">
        <v>143</v>
      </c>
      <c r="E12" s="9">
        <v>4</v>
      </c>
      <c r="F12" s="9">
        <v>16</v>
      </c>
      <c r="G12" s="9">
        <v>256</v>
      </c>
      <c r="H12" s="9">
        <v>0</v>
      </c>
      <c r="I12" s="9">
        <f t="shared" si="0"/>
        <v>256</v>
      </c>
      <c r="J12" s="9" t="s">
        <v>131</v>
      </c>
      <c r="K12" s="9" t="s">
        <v>132</v>
      </c>
      <c r="L12" s="9" t="s">
        <v>125</v>
      </c>
      <c r="M12" s="9">
        <f>IF(L12="3-Yr No Upfront",'Pricing Inputs'!$B$29,'Pricing Inputs'!$B$30)</f>
        <v>730</v>
      </c>
      <c r="N12" s="10">
        <f>IF(U12="m7a.2xlarge",IF(L12="3-Yr No Upfront",'Pricing Inputs'!$E$18,'Pricing Inputs'!$D$18),IFERROR(INDEX('Pricing Inputs'!$D$6:$G$14,MATCH(U12,'Pricing Inputs'!$A$6:$A$14,0),IF(L12="3-Yr No Upfront",IF(J12="Windows",4,3),IF(J12="Windows",2,1))),"CHECK"))</f>
        <v>0.29166999999999998</v>
      </c>
      <c r="O12" s="11">
        <f t="shared" si="1"/>
        <v>212.91909999999999</v>
      </c>
      <c r="P12" s="11">
        <f>I12*'Pricing Inputs'!$B$22</f>
        <v>24.371200000000002</v>
      </c>
      <c r="Q12" s="11">
        <f>I12*'Pricing Inputs'!$B$24*IF(OR(C12="Prod",C12="Prod/UAT/Dev"),'Pricing Inputs'!$B$31,'Pricing Inputs'!$B$32)</f>
        <v>19.200000000000003</v>
      </c>
      <c r="R12" s="11">
        <f>IF(Y12="Yes",('Pricing Inputs'!$B$25*'Pricing Inputs'!$B$29)+(I12*'Pricing Inputs'!$B$26*'Pricing Inputs'!$B$23),0)</f>
        <v>0</v>
      </c>
      <c r="S12" s="11">
        <f t="shared" si="2"/>
        <v>256.49029999999999</v>
      </c>
      <c r="T12" s="9"/>
      <c r="U12" s="12" t="s">
        <v>132</v>
      </c>
      <c r="V12" s="12">
        <v>4</v>
      </c>
      <c r="W12" s="12">
        <v>16</v>
      </c>
      <c r="X12" t="s">
        <v>151</v>
      </c>
      <c r="Y12" t="s">
        <v>138</v>
      </c>
      <c r="Z12" t="s">
        <v>134</v>
      </c>
    </row>
    <row r="13" spans="1:26" ht="15" customHeight="1">
      <c r="A13" s="9">
        <v>9</v>
      </c>
      <c r="B13" s="9" t="s">
        <v>152</v>
      </c>
      <c r="C13" s="9" t="s">
        <v>142</v>
      </c>
      <c r="D13" s="9" t="s">
        <v>143</v>
      </c>
      <c r="E13" s="9">
        <v>4</v>
      </c>
      <c r="F13" s="9">
        <v>16</v>
      </c>
      <c r="G13" s="9">
        <v>256</v>
      </c>
      <c r="H13" s="9">
        <v>0</v>
      </c>
      <c r="I13" s="9">
        <f t="shared" si="0"/>
        <v>256</v>
      </c>
      <c r="J13" s="9" t="s">
        <v>131</v>
      </c>
      <c r="K13" s="9" t="s">
        <v>132</v>
      </c>
      <c r="L13" s="9" t="s">
        <v>125</v>
      </c>
      <c r="M13" s="9">
        <f>IF(L13="3-Yr No Upfront",'Pricing Inputs'!$B$29,'Pricing Inputs'!$B$30)</f>
        <v>730</v>
      </c>
      <c r="N13" s="10">
        <f>IF(U13="m7a.2xlarge",IF(L13="3-Yr No Upfront",'Pricing Inputs'!$E$18,'Pricing Inputs'!$D$18),IFERROR(INDEX('Pricing Inputs'!$D$6:$G$14,MATCH(U13,'Pricing Inputs'!$A$6:$A$14,0),IF(L13="3-Yr No Upfront",IF(J13="Windows",4,3),IF(J13="Windows",2,1))),"CHECK"))</f>
        <v>0.16336000000000001</v>
      </c>
      <c r="O13" s="11">
        <f t="shared" si="1"/>
        <v>119.25280000000001</v>
      </c>
      <c r="P13" s="11">
        <f>I13*'Pricing Inputs'!$B$22</f>
        <v>24.371200000000002</v>
      </c>
      <c r="Q13" s="11">
        <f>I13*'Pricing Inputs'!$B$24*IF(OR(C13="Prod",C13="Prod/UAT/Dev"),'Pricing Inputs'!$B$31,'Pricing Inputs'!$B$32)</f>
        <v>19.200000000000003</v>
      </c>
      <c r="R13" s="11">
        <f>IF(Y13="Yes",('Pricing Inputs'!$B$25*'Pricing Inputs'!$B$29)+(I13*'Pricing Inputs'!$B$26*'Pricing Inputs'!$B$23),0)</f>
        <v>0</v>
      </c>
      <c r="S13" s="11">
        <f t="shared" si="2"/>
        <v>162.82400000000001</v>
      </c>
      <c r="T13" s="9"/>
      <c r="U13" s="13" t="s">
        <v>146</v>
      </c>
      <c r="V13" s="13">
        <v>2</v>
      </c>
      <c r="W13" s="13">
        <v>16</v>
      </c>
      <c r="X13" t="s">
        <v>153</v>
      </c>
      <c r="Y13" t="s">
        <v>138</v>
      </c>
      <c r="Z13" t="s">
        <v>134</v>
      </c>
    </row>
    <row r="14" spans="1:26" ht="15" customHeight="1">
      <c r="A14" s="9">
        <v>10</v>
      </c>
      <c r="B14" s="9" t="s">
        <v>154</v>
      </c>
      <c r="C14" s="9" t="s">
        <v>142</v>
      </c>
      <c r="D14" s="9" t="s">
        <v>155</v>
      </c>
      <c r="E14" s="9">
        <v>4</v>
      </c>
      <c r="F14" s="9">
        <v>16</v>
      </c>
      <c r="G14" s="9">
        <v>256</v>
      </c>
      <c r="H14" s="9">
        <v>0</v>
      </c>
      <c r="I14" s="9">
        <f t="shared" si="0"/>
        <v>256</v>
      </c>
      <c r="J14" s="9" t="s">
        <v>131</v>
      </c>
      <c r="K14" s="9" t="s">
        <v>132</v>
      </c>
      <c r="L14" s="9" t="s">
        <v>125</v>
      </c>
      <c r="M14" s="9">
        <f>IF(L14="3-Yr No Upfront",'Pricing Inputs'!$B$29,'Pricing Inputs'!$B$30)</f>
        <v>730</v>
      </c>
      <c r="N14" s="10">
        <f>IF(U14="m7a.2xlarge",IF(L14="3-Yr No Upfront",'Pricing Inputs'!$E$18,'Pricing Inputs'!$D$18),IFERROR(INDEX('Pricing Inputs'!$D$6:$G$14,MATCH(U14,'Pricing Inputs'!$A$6:$A$14,0),IF(L14="3-Yr No Upfront",IF(J14="Windows",4,3),IF(J14="Windows",2,1))),"CHECK"))</f>
        <v>0.29166999999999998</v>
      </c>
      <c r="O14" s="11">
        <f t="shared" si="1"/>
        <v>212.91909999999999</v>
      </c>
      <c r="P14" s="11">
        <f>I14*'Pricing Inputs'!$B$22</f>
        <v>24.371200000000002</v>
      </c>
      <c r="Q14" s="11">
        <f>I14*'Pricing Inputs'!$B$24*IF(OR(C14="Prod",C14="Prod/UAT/Dev"),'Pricing Inputs'!$B$31,'Pricing Inputs'!$B$32)</f>
        <v>19.200000000000003</v>
      </c>
      <c r="R14" s="11">
        <f>IF(Y14="Yes",('Pricing Inputs'!$B$25*'Pricing Inputs'!$B$29)+(I14*'Pricing Inputs'!$B$26*'Pricing Inputs'!$B$23),0)</f>
        <v>0</v>
      </c>
      <c r="S14" s="11">
        <f t="shared" si="2"/>
        <v>256.49029999999999</v>
      </c>
      <c r="T14" s="9"/>
      <c r="U14" s="12" t="s">
        <v>132</v>
      </c>
      <c r="V14" s="12">
        <v>4</v>
      </c>
      <c r="W14" s="12">
        <v>16</v>
      </c>
      <c r="X14" t="s">
        <v>156</v>
      </c>
      <c r="Y14" t="s">
        <v>138</v>
      </c>
      <c r="Z14" t="s">
        <v>134</v>
      </c>
    </row>
    <row r="15" spans="1:26" ht="15" customHeight="1">
      <c r="A15" s="9">
        <v>11</v>
      </c>
      <c r="B15" s="9" t="s">
        <v>157</v>
      </c>
      <c r="C15" s="9" t="s">
        <v>142</v>
      </c>
      <c r="D15" s="9" t="s">
        <v>155</v>
      </c>
      <c r="E15" s="9">
        <v>4</v>
      </c>
      <c r="F15" s="9">
        <v>16</v>
      </c>
      <c r="G15" s="9">
        <v>256</v>
      </c>
      <c r="H15" s="9">
        <v>0</v>
      </c>
      <c r="I15" s="9">
        <f t="shared" si="0"/>
        <v>256</v>
      </c>
      <c r="J15" s="9" t="s">
        <v>131</v>
      </c>
      <c r="K15" s="9" t="s">
        <v>132</v>
      </c>
      <c r="L15" s="9" t="s">
        <v>125</v>
      </c>
      <c r="M15" s="9">
        <f>IF(L15="3-Yr No Upfront",'Pricing Inputs'!$B$29,'Pricing Inputs'!$B$30)</f>
        <v>730</v>
      </c>
      <c r="N15" s="10">
        <f>IF(U15="m7a.2xlarge",IF(L15="3-Yr No Upfront",'Pricing Inputs'!$E$18,'Pricing Inputs'!$D$18),IFERROR(INDEX('Pricing Inputs'!$D$6:$G$14,MATCH(U15,'Pricing Inputs'!$A$6:$A$14,0),IF(L15="3-Yr No Upfront",IF(J15="Windows",4,3),IF(J15="Windows",2,1))),"CHECK"))</f>
        <v>0.29166999999999998</v>
      </c>
      <c r="O15" s="11">
        <f t="shared" si="1"/>
        <v>212.91909999999999</v>
      </c>
      <c r="P15" s="11">
        <f>I15*'Pricing Inputs'!$B$22</f>
        <v>24.371200000000002</v>
      </c>
      <c r="Q15" s="11">
        <f>I15*'Pricing Inputs'!$B$24*IF(OR(C15="Prod",C15="Prod/UAT/Dev"),'Pricing Inputs'!$B$31,'Pricing Inputs'!$B$32)</f>
        <v>19.200000000000003</v>
      </c>
      <c r="R15" s="11">
        <f>IF(Y15="Yes",('Pricing Inputs'!$B$25*'Pricing Inputs'!$B$29)+(I15*'Pricing Inputs'!$B$26*'Pricing Inputs'!$B$23),0)</f>
        <v>0</v>
      </c>
      <c r="S15" s="11">
        <f t="shared" si="2"/>
        <v>256.49029999999999</v>
      </c>
      <c r="T15" s="9"/>
      <c r="U15" s="12" t="s">
        <v>132</v>
      </c>
      <c r="V15" s="12">
        <v>4</v>
      </c>
      <c r="W15" s="12">
        <v>16</v>
      </c>
      <c r="X15" t="s">
        <v>158</v>
      </c>
      <c r="Y15" t="s">
        <v>138</v>
      </c>
      <c r="Z15" t="s">
        <v>134</v>
      </c>
    </row>
    <row r="16" spans="1:26" ht="15" customHeight="1">
      <c r="A16" s="9">
        <v>12</v>
      </c>
      <c r="B16" s="9" t="s">
        <v>159</v>
      </c>
      <c r="C16" s="9" t="s">
        <v>142</v>
      </c>
      <c r="D16" s="9" t="s">
        <v>155</v>
      </c>
      <c r="E16" s="9">
        <v>4</v>
      </c>
      <c r="F16" s="9">
        <v>16</v>
      </c>
      <c r="G16" s="9">
        <v>256</v>
      </c>
      <c r="H16" s="9">
        <v>0</v>
      </c>
      <c r="I16" s="9">
        <f t="shared" si="0"/>
        <v>256</v>
      </c>
      <c r="J16" s="9" t="s">
        <v>131</v>
      </c>
      <c r="K16" s="9" t="s">
        <v>132</v>
      </c>
      <c r="L16" s="9" t="s">
        <v>125</v>
      </c>
      <c r="M16" s="9">
        <f>IF(L16="3-Yr No Upfront",'Pricing Inputs'!$B$29,'Pricing Inputs'!$B$30)</f>
        <v>730</v>
      </c>
      <c r="N16" s="10">
        <f>IF(U16="m7a.2xlarge",IF(L16="3-Yr No Upfront",'Pricing Inputs'!$E$18,'Pricing Inputs'!$D$18),IFERROR(INDEX('Pricing Inputs'!$D$6:$G$14,MATCH(U16,'Pricing Inputs'!$A$6:$A$14,0),IF(L16="3-Yr No Upfront",IF(J16="Windows",4,3),IF(J16="Windows",2,1))),"CHECK"))</f>
        <v>0.29166999999999998</v>
      </c>
      <c r="O16" s="11">
        <f t="shared" si="1"/>
        <v>212.91909999999999</v>
      </c>
      <c r="P16" s="11">
        <f>I16*'Pricing Inputs'!$B$22</f>
        <v>24.371200000000002</v>
      </c>
      <c r="Q16" s="11">
        <f>I16*'Pricing Inputs'!$B$24*IF(OR(C16="Prod",C16="Prod/UAT/Dev"),'Pricing Inputs'!$B$31,'Pricing Inputs'!$B$32)</f>
        <v>19.200000000000003</v>
      </c>
      <c r="R16" s="11">
        <f>IF(Y16="Yes",('Pricing Inputs'!$B$25*'Pricing Inputs'!$B$29)+(I16*'Pricing Inputs'!$B$26*'Pricing Inputs'!$B$23),0)</f>
        <v>0</v>
      </c>
      <c r="S16" s="11">
        <f t="shared" si="2"/>
        <v>256.49029999999999</v>
      </c>
      <c r="T16" s="9"/>
      <c r="U16" s="12" t="s">
        <v>132</v>
      </c>
      <c r="V16" s="12">
        <v>4</v>
      </c>
      <c r="W16" s="12">
        <v>16</v>
      </c>
      <c r="X16" t="s">
        <v>160</v>
      </c>
      <c r="Y16" t="s">
        <v>138</v>
      </c>
      <c r="Z16" t="s">
        <v>134</v>
      </c>
    </row>
    <row r="17" spans="1:26" ht="15" customHeight="1">
      <c r="A17" s="9">
        <v>13</v>
      </c>
      <c r="B17" s="9" t="s">
        <v>161</v>
      </c>
      <c r="C17" s="9" t="s">
        <v>142</v>
      </c>
      <c r="D17" s="9" t="s">
        <v>155</v>
      </c>
      <c r="E17" s="9">
        <v>4</v>
      </c>
      <c r="F17" s="9">
        <v>16</v>
      </c>
      <c r="G17" s="9">
        <v>256</v>
      </c>
      <c r="H17" s="9">
        <v>0</v>
      </c>
      <c r="I17" s="9">
        <f t="shared" si="0"/>
        <v>256</v>
      </c>
      <c r="J17" s="9" t="s">
        <v>131</v>
      </c>
      <c r="K17" s="9" t="s">
        <v>132</v>
      </c>
      <c r="L17" s="9" t="s">
        <v>125</v>
      </c>
      <c r="M17" s="9">
        <f>IF(L17="3-Yr No Upfront",'Pricing Inputs'!$B$29,'Pricing Inputs'!$B$30)</f>
        <v>730</v>
      </c>
      <c r="N17" s="10">
        <f>IF(U17="m7a.2xlarge",IF(L17="3-Yr No Upfront",'Pricing Inputs'!$E$18,'Pricing Inputs'!$D$18),IFERROR(INDEX('Pricing Inputs'!$D$6:$G$14,MATCH(U17,'Pricing Inputs'!$A$6:$A$14,0),IF(L17="3-Yr No Upfront",IF(J17="Windows",4,3),IF(J17="Windows",2,1))),"CHECK"))</f>
        <v>0.29166999999999998</v>
      </c>
      <c r="O17" s="11">
        <f t="shared" si="1"/>
        <v>212.91909999999999</v>
      </c>
      <c r="P17" s="11">
        <f>I17*'Pricing Inputs'!$B$22</f>
        <v>24.371200000000002</v>
      </c>
      <c r="Q17" s="11">
        <f>I17*'Pricing Inputs'!$B$24*IF(OR(C17="Prod",C17="Prod/UAT/Dev"),'Pricing Inputs'!$B$31,'Pricing Inputs'!$B$32)</f>
        <v>19.200000000000003</v>
      </c>
      <c r="R17" s="11">
        <f>IF(Y17="Yes",('Pricing Inputs'!$B$25*'Pricing Inputs'!$B$29)+(I17*'Pricing Inputs'!$B$26*'Pricing Inputs'!$B$23),0)</f>
        <v>0</v>
      </c>
      <c r="S17" s="11">
        <f t="shared" si="2"/>
        <v>256.49029999999999</v>
      </c>
      <c r="T17" s="9"/>
      <c r="U17" s="12" t="s">
        <v>132</v>
      </c>
      <c r="V17" s="12">
        <v>4</v>
      </c>
      <c r="W17" s="12">
        <v>16</v>
      </c>
      <c r="X17" t="s">
        <v>162</v>
      </c>
      <c r="Y17" t="s">
        <v>138</v>
      </c>
      <c r="Z17" t="s">
        <v>134</v>
      </c>
    </row>
    <row r="18" spans="1:26" ht="15" customHeight="1">
      <c r="A18" s="9">
        <v>14</v>
      </c>
      <c r="B18" s="9" t="s">
        <v>163</v>
      </c>
      <c r="C18" s="9" t="s">
        <v>121</v>
      </c>
      <c r="D18" s="9" t="s">
        <v>130</v>
      </c>
      <c r="E18" s="9">
        <v>4</v>
      </c>
      <c r="F18" s="9">
        <v>16</v>
      </c>
      <c r="G18" s="9">
        <v>256</v>
      </c>
      <c r="H18" s="9">
        <v>0</v>
      </c>
      <c r="I18" s="9">
        <f t="shared" si="0"/>
        <v>256</v>
      </c>
      <c r="J18" s="9" t="s">
        <v>131</v>
      </c>
      <c r="K18" s="9" t="s">
        <v>132</v>
      </c>
      <c r="L18" s="9" t="s">
        <v>125</v>
      </c>
      <c r="M18" s="9">
        <f>IF(L18="3-Yr No Upfront",'Pricing Inputs'!$B$29,'Pricing Inputs'!$B$30)</f>
        <v>730</v>
      </c>
      <c r="N18" s="10">
        <f>IF(U18="m7a.2xlarge",IF(L18="3-Yr No Upfront",'Pricing Inputs'!$E$18,'Pricing Inputs'!$D$18),IFERROR(INDEX('Pricing Inputs'!$D$6:$G$14,MATCH(U18,'Pricing Inputs'!$A$6:$A$14,0),IF(L18="3-Yr No Upfront",IF(J18="Windows",4,3),IF(J18="Windows",2,1))),"CHECK"))</f>
        <v>0.29166999999999998</v>
      </c>
      <c r="O18" s="11">
        <f t="shared" si="1"/>
        <v>212.91909999999999</v>
      </c>
      <c r="P18" s="11">
        <f>I18*'Pricing Inputs'!$B$22</f>
        <v>24.371200000000002</v>
      </c>
      <c r="Q18" s="11">
        <f>I18*'Pricing Inputs'!$B$24*IF(OR(C18="Prod",C18="Prod/UAT/Dev"),'Pricing Inputs'!$B$31,'Pricing Inputs'!$B$32)</f>
        <v>19.200000000000003</v>
      </c>
      <c r="R18" s="11">
        <f>IF(Y18="Yes",('Pricing Inputs'!$B$25*'Pricing Inputs'!$B$29)+(I18*'Pricing Inputs'!$B$26*'Pricing Inputs'!$B$23),0)</f>
        <v>24.945600000000002</v>
      </c>
      <c r="S18" s="11">
        <f t="shared" si="2"/>
        <v>281.4359</v>
      </c>
      <c r="T18" s="9"/>
      <c r="U18" s="12" t="s">
        <v>132</v>
      </c>
      <c r="V18" s="12">
        <v>4</v>
      </c>
      <c r="W18" s="12">
        <v>16</v>
      </c>
      <c r="X18" t="s">
        <v>164</v>
      </c>
      <c r="Y18" t="s">
        <v>127</v>
      </c>
      <c r="Z18" t="s">
        <v>134</v>
      </c>
    </row>
    <row r="19" spans="1:26" ht="15" customHeight="1">
      <c r="A19" s="9">
        <v>15</v>
      </c>
      <c r="B19" s="9" t="s">
        <v>165</v>
      </c>
      <c r="C19" s="9" t="s">
        <v>121</v>
      </c>
      <c r="D19" s="9" t="s">
        <v>130</v>
      </c>
      <c r="E19" s="9">
        <v>4</v>
      </c>
      <c r="F19" s="9">
        <v>16</v>
      </c>
      <c r="G19" s="9">
        <v>256</v>
      </c>
      <c r="H19" s="9">
        <v>0</v>
      </c>
      <c r="I19" s="9">
        <f t="shared" si="0"/>
        <v>256</v>
      </c>
      <c r="J19" s="9" t="s">
        <v>131</v>
      </c>
      <c r="K19" s="9" t="s">
        <v>132</v>
      </c>
      <c r="L19" s="9" t="s">
        <v>125</v>
      </c>
      <c r="M19" s="9">
        <f>IF(L19="3-Yr No Upfront",'Pricing Inputs'!$B$29,'Pricing Inputs'!$B$30)</f>
        <v>730</v>
      </c>
      <c r="N19" s="10">
        <f>IF(U19="m7a.2xlarge",IF(L19="3-Yr No Upfront",'Pricing Inputs'!$E$18,'Pricing Inputs'!$D$18),IFERROR(INDEX('Pricing Inputs'!$D$6:$G$14,MATCH(U19,'Pricing Inputs'!$A$6:$A$14,0),IF(L19="3-Yr No Upfront",IF(J19="Windows",4,3),IF(J19="Windows",2,1))),"CHECK"))</f>
        <v>0.29166999999999998</v>
      </c>
      <c r="O19" s="11">
        <f t="shared" si="1"/>
        <v>212.91909999999999</v>
      </c>
      <c r="P19" s="11">
        <f>I19*'Pricing Inputs'!$B$22</f>
        <v>24.371200000000002</v>
      </c>
      <c r="Q19" s="11">
        <f>I19*'Pricing Inputs'!$B$24*IF(OR(C19="Prod",C19="Prod/UAT/Dev"),'Pricing Inputs'!$B$31,'Pricing Inputs'!$B$32)</f>
        <v>19.200000000000003</v>
      </c>
      <c r="R19" s="11">
        <f>IF(Y19="Yes",('Pricing Inputs'!$B$25*'Pricing Inputs'!$B$29)+(I19*'Pricing Inputs'!$B$26*'Pricing Inputs'!$B$23),0)</f>
        <v>24.945600000000002</v>
      </c>
      <c r="S19" s="11">
        <f t="shared" si="2"/>
        <v>281.4359</v>
      </c>
      <c r="T19" s="9"/>
      <c r="U19" s="12" t="s">
        <v>132</v>
      </c>
      <c r="V19" s="12">
        <v>4</v>
      </c>
      <c r="W19" s="12">
        <v>16</v>
      </c>
      <c r="X19" t="s">
        <v>166</v>
      </c>
      <c r="Y19" t="s">
        <v>127</v>
      </c>
      <c r="Z19" t="s">
        <v>134</v>
      </c>
    </row>
    <row r="20" spans="1:26" ht="15" customHeight="1">
      <c r="A20" s="9">
        <v>16</v>
      </c>
      <c r="B20" s="9" t="s">
        <v>167</v>
      </c>
      <c r="C20" s="9" t="s">
        <v>121</v>
      </c>
      <c r="D20" s="9" t="s">
        <v>130</v>
      </c>
      <c r="E20" s="9">
        <v>4</v>
      </c>
      <c r="F20" s="9">
        <v>16</v>
      </c>
      <c r="G20" s="9">
        <v>256</v>
      </c>
      <c r="H20" s="9">
        <v>0</v>
      </c>
      <c r="I20" s="9">
        <f t="shared" si="0"/>
        <v>256</v>
      </c>
      <c r="J20" s="9" t="s">
        <v>131</v>
      </c>
      <c r="K20" s="9" t="s">
        <v>132</v>
      </c>
      <c r="L20" s="9" t="s">
        <v>125</v>
      </c>
      <c r="M20" s="9">
        <f>IF(L20="3-Yr No Upfront",'Pricing Inputs'!$B$29,'Pricing Inputs'!$B$30)</f>
        <v>730</v>
      </c>
      <c r="N20" s="10">
        <f>IF(U20="m7a.2xlarge",IF(L20="3-Yr No Upfront",'Pricing Inputs'!$E$18,'Pricing Inputs'!$D$18),IFERROR(INDEX('Pricing Inputs'!$D$6:$G$14,MATCH(U20,'Pricing Inputs'!$A$6:$A$14,0),IF(L20="3-Yr No Upfront",IF(J20="Windows",4,3),IF(J20="Windows",2,1))),"CHECK"))</f>
        <v>0.29166999999999998</v>
      </c>
      <c r="O20" s="11">
        <f t="shared" si="1"/>
        <v>212.91909999999999</v>
      </c>
      <c r="P20" s="11">
        <f>I20*'Pricing Inputs'!$B$22</f>
        <v>24.371200000000002</v>
      </c>
      <c r="Q20" s="11">
        <f>I20*'Pricing Inputs'!$B$24*IF(OR(C20="Prod",C20="Prod/UAT/Dev"),'Pricing Inputs'!$B$31,'Pricing Inputs'!$B$32)</f>
        <v>19.200000000000003</v>
      </c>
      <c r="R20" s="11">
        <f>IF(Y20="Yes",('Pricing Inputs'!$B$25*'Pricing Inputs'!$B$29)+(I20*'Pricing Inputs'!$B$26*'Pricing Inputs'!$B$23),0)</f>
        <v>24.945600000000002</v>
      </c>
      <c r="S20" s="11">
        <f t="shared" si="2"/>
        <v>281.4359</v>
      </c>
      <c r="T20" s="9"/>
      <c r="U20" s="12" t="s">
        <v>132</v>
      </c>
      <c r="V20" s="12">
        <v>4</v>
      </c>
      <c r="W20" s="12">
        <v>16</v>
      </c>
      <c r="X20" t="s">
        <v>168</v>
      </c>
      <c r="Y20" t="s">
        <v>127</v>
      </c>
      <c r="Z20" t="s">
        <v>134</v>
      </c>
    </row>
    <row r="21" spans="1:26" ht="15" customHeight="1">
      <c r="A21" s="9">
        <v>17</v>
      </c>
      <c r="B21" s="9" t="s">
        <v>169</v>
      </c>
      <c r="C21" s="9" t="s">
        <v>121</v>
      </c>
      <c r="D21" s="9" t="s">
        <v>130</v>
      </c>
      <c r="E21" s="9">
        <v>4</v>
      </c>
      <c r="F21" s="9">
        <v>16</v>
      </c>
      <c r="G21" s="9">
        <v>256</v>
      </c>
      <c r="H21" s="9">
        <v>0</v>
      </c>
      <c r="I21" s="9">
        <f t="shared" si="0"/>
        <v>256</v>
      </c>
      <c r="J21" s="9" t="s">
        <v>131</v>
      </c>
      <c r="K21" s="9" t="s">
        <v>132</v>
      </c>
      <c r="L21" s="9" t="s">
        <v>125</v>
      </c>
      <c r="M21" s="9">
        <f>IF(L21="3-Yr No Upfront",'Pricing Inputs'!$B$29,'Pricing Inputs'!$B$30)</f>
        <v>730</v>
      </c>
      <c r="N21" s="10">
        <f>IF(U21="m7a.2xlarge",IF(L21="3-Yr No Upfront",'Pricing Inputs'!$E$18,'Pricing Inputs'!$D$18),IFERROR(INDEX('Pricing Inputs'!$D$6:$G$14,MATCH(U21,'Pricing Inputs'!$A$6:$A$14,0),IF(L21="3-Yr No Upfront",IF(J21="Windows",4,3),IF(J21="Windows",2,1))),"CHECK"))</f>
        <v>0.29166999999999998</v>
      </c>
      <c r="O21" s="11">
        <f t="shared" si="1"/>
        <v>212.91909999999999</v>
      </c>
      <c r="P21" s="11">
        <f>I21*'Pricing Inputs'!$B$22</f>
        <v>24.371200000000002</v>
      </c>
      <c r="Q21" s="11">
        <f>I21*'Pricing Inputs'!$B$24*IF(OR(C21="Prod",C21="Prod/UAT/Dev"),'Pricing Inputs'!$B$31,'Pricing Inputs'!$B$32)</f>
        <v>19.200000000000003</v>
      </c>
      <c r="R21" s="11">
        <f>IF(Y21="Yes",('Pricing Inputs'!$B$25*'Pricing Inputs'!$B$29)+(I21*'Pricing Inputs'!$B$26*'Pricing Inputs'!$B$23),0)</f>
        <v>24.945600000000002</v>
      </c>
      <c r="S21" s="11">
        <f t="shared" si="2"/>
        <v>281.4359</v>
      </c>
      <c r="T21" s="9"/>
      <c r="U21" s="12" t="s">
        <v>132</v>
      </c>
      <c r="V21" s="12">
        <v>4</v>
      </c>
      <c r="W21" s="12">
        <v>16</v>
      </c>
      <c r="X21" t="s">
        <v>170</v>
      </c>
      <c r="Y21" t="s">
        <v>127</v>
      </c>
      <c r="Z21" t="s">
        <v>134</v>
      </c>
    </row>
    <row r="22" spans="1:26" ht="15" customHeight="1">
      <c r="A22" s="9">
        <v>18</v>
      </c>
      <c r="B22" s="9" t="s">
        <v>171</v>
      </c>
      <c r="C22" s="9" t="s">
        <v>121</v>
      </c>
      <c r="D22" s="9" t="s">
        <v>130</v>
      </c>
      <c r="E22" s="9">
        <v>4</v>
      </c>
      <c r="F22" s="9">
        <v>16</v>
      </c>
      <c r="G22" s="9">
        <v>256</v>
      </c>
      <c r="H22" s="9">
        <v>0</v>
      </c>
      <c r="I22" s="9">
        <f t="shared" si="0"/>
        <v>256</v>
      </c>
      <c r="J22" s="9" t="s">
        <v>131</v>
      </c>
      <c r="K22" s="9" t="s">
        <v>132</v>
      </c>
      <c r="L22" s="9" t="s">
        <v>125</v>
      </c>
      <c r="M22" s="9">
        <f>IF(L22="3-Yr No Upfront",'Pricing Inputs'!$B$29,'Pricing Inputs'!$B$30)</f>
        <v>730</v>
      </c>
      <c r="N22" s="10">
        <f>IF(U22="m7a.2xlarge",IF(L22="3-Yr No Upfront",'Pricing Inputs'!$E$18,'Pricing Inputs'!$D$18),IFERROR(INDEX('Pricing Inputs'!$D$6:$G$14,MATCH(U22,'Pricing Inputs'!$A$6:$A$14,0),IF(L22="3-Yr No Upfront",IF(J22="Windows",4,3),IF(J22="Windows",2,1))),"CHECK"))</f>
        <v>0.29166999999999998</v>
      </c>
      <c r="O22" s="11">
        <f t="shared" si="1"/>
        <v>212.91909999999999</v>
      </c>
      <c r="P22" s="11">
        <f>I22*'Pricing Inputs'!$B$22</f>
        <v>24.371200000000002</v>
      </c>
      <c r="Q22" s="11">
        <f>I22*'Pricing Inputs'!$B$24*IF(OR(C22="Prod",C22="Prod/UAT/Dev"),'Pricing Inputs'!$B$31,'Pricing Inputs'!$B$32)</f>
        <v>19.200000000000003</v>
      </c>
      <c r="R22" s="11">
        <f>IF(Y22="Yes",('Pricing Inputs'!$B$25*'Pricing Inputs'!$B$29)+(I22*'Pricing Inputs'!$B$26*'Pricing Inputs'!$B$23),0)</f>
        <v>24.945600000000002</v>
      </c>
      <c r="S22" s="11">
        <f t="shared" si="2"/>
        <v>281.4359</v>
      </c>
      <c r="T22" s="9"/>
      <c r="U22" s="12" t="s">
        <v>132</v>
      </c>
      <c r="V22" s="12">
        <v>4</v>
      </c>
      <c r="W22" s="12">
        <v>16</v>
      </c>
      <c r="X22" t="s">
        <v>172</v>
      </c>
      <c r="Y22" t="s">
        <v>127</v>
      </c>
      <c r="Z22" t="s">
        <v>134</v>
      </c>
    </row>
    <row r="23" spans="1:26" ht="15" customHeight="1">
      <c r="A23" s="9">
        <v>19</v>
      </c>
      <c r="B23" s="9" t="s">
        <v>173</v>
      </c>
      <c r="C23" s="9" t="s">
        <v>121</v>
      </c>
      <c r="D23" s="9" t="s">
        <v>130</v>
      </c>
      <c r="E23" s="9">
        <v>4</v>
      </c>
      <c r="F23" s="9">
        <v>16</v>
      </c>
      <c r="G23" s="9">
        <v>256</v>
      </c>
      <c r="H23" s="9">
        <v>0</v>
      </c>
      <c r="I23" s="9">
        <f t="shared" si="0"/>
        <v>256</v>
      </c>
      <c r="J23" s="9" t="s">
        <v>131</v>
      </c>
      <c r="K23" s="9" t="s">
        <v>132</v>
      </c>
      <c r="L23" s="9" t="s">
        <v>125</v>
      </c>
      <c r="M23" s="9">
        <f>IF(L23="3-Yr No Upfront",'Pricing Inputs'!$B$29,'Pricing Inputs'!$B$30)</f>
        <v>730</v>
      </c>
      <c r="N23" s="10">
        <f>IF(U23="m7a.2xlarge",IF(L23="3-Yr No Upfront",'Pricing Inputs'!$E$18,'Pricing Inputs'!$D$18),IFERROR(INDEX('Pricing Inputs'!$D$6:$G$14,MATCH(U23,'Pricing Inputs'!$A$6:$A$14,0),IF(L23="3-Yr No Upfront",IF(J23="Windows",4,3),IF(J23="Windows",2,1))),"CHECK"))</f>
        <v>0.29166999999999998</v>
      </c>
      <c r="O23" s="11">
        <f t="shared" si="1"/>
        <v>212.91909999999999</v>
      </c>
      <c r="P23" s="11">
        <f>I23*'Pricing Inputs'!$B$22</f>
        <v>24.371200000000002</v>
      </c>
      <c r="Q23" s="11">
        <f>I23*'Pricing Inputs'!$B$24*IF(OR(C23="Prod",C23="Prod/UAT/Dev"),'Pricing Inputs'!$B$31,'Pricing Inputs'!$B$32)</f>
        <v>19.200000000000003</v>
      </c>
      <c r="R23" s="11">
        <f>IF(Y23="Yes",('Pricing Inputs'!$B$25*'Pricing Inputs'!$B$29)+(I23*'Pricing Inputs'!$B$26*'Pricing Inputs'!$B$23),0)</f>
        <v>24.945600000000002</v>
      </c>
      <c r="S23" s="11">
        <f t="shared" si="2"/>
        <v>281.4359</v>
      </c>
      <c r="T23" s="9"/>
      <c r="U23" s="12" t="s">
        <v>132</v>
      </c>
      <c r="V23" s="12">
        <v>4</v>
      </c>
      <c r="W23" s="12">
        <v>16</v>
      </c>
      <c r="X23" t="s">
        <v>174</v>
      </c>
      <c r="Y23" t="s">
        <v>127</v>
      </c>
      <c r="Z23" t="s">
        <v>134</v>
      </c>
    </row>
    <row r="24" spans="1:26" ht="15" customHeight="1">
      <c r="A24" s="9">
        <v>20</v>
      </c>
      <c r="B24" s="9" t="s">
        <v>175</v>
      </c>
      <c r="C24" s="9" t="s">
        <v>121</v>
      </c>
      <c r="D24" s="9" t="s">
        <v>130</v>
      </c>
      <c r="E24" s="9">
        <v>4</v>
      </c>
      <c r="F24" s="9">
        <v>16</v>
      </c>
      <c r="G24" s="9">
        <v>256</v>
      </c>
      <c r="H24" s="9">
        <v>0</v>
      </c>
      <c r="I24" s="9">
        <f t="shared" si="0"/>
        <v>256</v>
      </c>
      <c r="J24" s="9" t="s">
        <v>131</v>
      </c>
      <c r="K24" s="9" t="s">
        <v>132</v>
      </c>
      <c r="L24" s="9" t="s">
        <v>125</v>
      </c>
      <c r="M24" s="9">
        <f>IF(L24="3-Yr No Upfront",'Pricing Inputs'!$B$29,'Pricing Inputs'!$B$30)</f>
        <v>730</v>
      </c>
      <c r="N24" s="10">
        <f>IF(U24="m7a.2xlarge",IF(L24="3-Yr No Upfront",'Pricing Inputs'!$E$18,'Pricing Inputs'!$D$18),IFERROR(INDEX('Pricing Inputs'!$D$6:$G$14,MATCH(U24,'Pricing Inputs'!$A$6:$A$14,0),IF(L24="3-Yr No Upfront",IF(J24="Windows",4,3),IF(J24="Windows",2,1))),"CHECK"))</f>
        <v>0.29166999999999998</v>
      </c>
      <c r="O24" s="11">
        <f t="shared" si="1"/>
        <v>212.91909999999999</v>
      </c>
      <c r="P24" s="11">
        <f>I24*'Pricing Inputs'!$B$22</f>
        <v>24.371200000000002</v>
      </c>
      <c r="Q24" s="11">
        <f>I24*'Pricing Inputs'!$B$24*IF(OR(C24="Prod",C24="Prod/UAT/Dev"),'Pricing Inputs'!$B$31,'Pricing Inputs'!$B$32)</f>
        <v>19.200000000000003</v>
      </c>
      <c r="R24" s="11">
        <f>IF(Y24="Yes",('Pricing Inputs'!$B$25*'Pricing Inputs'!$B$29)+(I24*'Pricing Inputs'!$B$26*'Pricing Inputs'!$B$23),0)</f>
        <v>24.945600000000002</v>
      </c>
      <c r="S24" s="11">
        <f t="shared" si="2"/>
        <v>281.4359</v>
      </c>
      <c r="T24" s="9"/>
      <c r="U24" s="12" t="s">
        <v>132</v>
      </c>
      <c r="V24" s="12">
        <v>4</v>
      </c>
      <c r="W24" s="12">
        <v>16</v>
      </c>
      <c r="X24" t="s">
        <v>176</v>
      </c>
      <c r="Y24" t="s">
        <v>127</v>
      </c>
      <c r="Z24" t="s">
        <v>134</v>
      </c>
    </row>
    <row r="25" spans="1:26" ht="15" customHeight="1">
      <c r="A25" s="9">
        <v>21</v>
      </c>
      <c r="B25" s="9" t="s">
        <v>177</v>
      </c>
      <c r="C25" s="9" t="s">
        <v>142</v>
      </c>
      <c r="D25" s="9" t="s">
        <v>130</v>
      </c>
      <c r="E25" s="9">
        <v>4</v>
      </c>
      <c r="F25" s="9">
        <v>16</v>
      </c>
      <c r="G25" s="9">
        <v>256</v>
      </c>
      <c r="H25" s="9">
        <v>0</v>
      </c>
      <c r="I25" s="9">
        <f t="shared" si="0"/>
        <v>256</v>
      </c>
      <c r="J25" s="9" t="s">
        <v>131</v>
      </c>
      <c r="K25" s="9" t="s">
        <v>132</v>
      </c>
      <c r="L25" s="9" t="s">
        <v>125</v>
      </c>
      <c r="M25" s="9">
        <f>IF(L25="3-Yr No Upfront",'Pricing Inputs'!$B$29,'Pricing Inputs'!$B$30)</f>
        <v>730</v>
      </c>
      <c r="N25" s="10">
        <f>IF(U25="m7a.2xlarge",IF(L25="3-Yr No Upfront",'Pricing Inputs'!$E$18,'Pricing Inputs'!$D$18),IFERROR(INDEX('Pricing Inputs'!$D$6:$G$14,MATCH(U25,'Pricing Inputs'!$A$6:$A$14,0),IF(L25="3-Yr No Upfront",IF(J25="Windows",4,3),IF(J25="Windows",2,1))),"CHECK"))</f>
        <v>0.29166999999999998</v>
      </c>
      <c r="O25" s="11">
        <f t="shared" si="1"/>
        <v>212.91909999999999</v>
      </c>
      <c r="P25" s="11">
        <f>I25*'Pricing Inputs'!$B$22</f>
        <v>24.371200000000002</v>
      </c>
      <c r="Q25" s="11">
        <f>I25*'Pricing Inputs'!$B$24*IF(OR(C25="Prod",C25="Prod/UAT/Dev"),'Pricing Inputs'!$B$31,'Pricing Inputs'!$B$32)</f>
        <v>19.200000000000003</v>
      </c>
      <c r="R25" s="11">
        <f>IF(Y25="Yes",('Pricing Inputs'!$B$25*'Pricing Inputs'!$B$29)+(I25*'Pricing Inputs'!$B$26*'Pricing Inputs'!$B$23),0)</f>
        <v>0</v>
      </c>
      <c r="S25" s="11">
        <f t="shared" si="2"/>
        <v>256.49029999999999</v>
      </c>
      <c r="T25" s="9"/>
      <c r="U25" s="12" t="s">
        <v>132</v>
      </c>
      <c r="V25" s="12">
        <v>4</v>
      </c>
      <c r="W25" s="12">
        <v>16</v>
      </c>
      <c r="X25" t="s">
        <v>178</v>
      </c>
      <c r="Y25" t="s">
        <v>138</v>
      </c>
      <c r="Z25" t="s">
        <v>134</v>
      </c>
    </row>
    <row r="26" spans="1:26" ht="15" customHeight="1">
      <c r="A26" s="9">
        <v>22</v>
      </c>
      <c r="B26" s="9" t="s">
        <v>179</v>
      </c>
      <c r="C26" s="9" t="s">
        <v>142</v>
      </c>
      <c r="D26" s="9" t="s">
        <v>130</v>
      </c>
      <c r="E26" s="9">
        <v>4</v>
      </c>
      <c r="F26" s="9">
        <v>16</v>
      </c>
      <c r="G26" s="9">
        <v>512</v>
      </c>
      <c r="H26" s="9">
        <v>0</v>
      </c>
      <c r="I26" s="9">
        <f t="shared" si="0"/>
        <v>512</v>
      </c>
      <c r="J26" s="9" t="s">
        <v>131</v>
      </c>
      <c r="K26" s="9" t="s">
        <v>132</v>
      </c>
      <c r="L26" s="9" t="s">
        <v>125</v>
      </c>
      <c r="M26" s="9">
        <f>IF(L26="3-Yr No Upfront",'Pricing Inputs'!$B$29,'Pricing Inputs'!$B$30)</f>
        <v>730</v>
      </c>
      <c r="N26" s="10">
        <f>IF(U26="m7a.2xlarge",IF(L26="3-Yr No Upfront",'Pricing Inputs'!$E$18,'Pricing Inputs'!$D$18),IFERROR(INDEX('Pricing Inputs'!$D$6:$G$14,MATCH(U26,'Pricing Inputs'!$A$6:$A$14,0),IF(L26="3-Yr No Upfront",IF(J26="Windows",4,3),IF(J26="Windows",2,1))),"CHECK"))</f>
        <v>0.16336000000000001</v>
      </c>
      <c r="O26" s="11">
        <f t="shared" si="1"/>
        <v>119.25280000000001</v>
      </c>
      <c r="P26" s="11">
        <f>I26*'Pricing Inputs'!$B$22</f>
        <v>48.742400000000004</v>
      </c>
      <c r="Q26" s="11">
        <f>I26*'Pricing Inputs'!$B$24*IF(OR(C26="Prod",C26="Prod/UAT/Dev"),'Pricing Inputs'!$B$31,'Pricing Inputs'!$B$32)</f>
        <v>38.400000000000006</v>
      </c>
      <c r="R26" s="11">
        <f>IF(Y26="Yes",('Pricing Inputs'!$B$25*'Pricing Inputs'!$B$29)+(I26*'Pricing Inputs'!$B$26*'Pricing Inputs'!$B$23),0)</f>
        <v>0</v>
      </c>
      <c r="S26" s="11">
        <f t="shared" si="2"/>
        <v>206.39520000000002</v>
      </c>
      <c r="T26" s="9"/>
      <c r="U26" s="13" t="s">
        <v>146</v>
      </c>
      <c r="V26" s="13">
        <v>2</v>
      </c>
      <c r="W26" s="13">
        <v>16</v>
      </c>
      <c r="X26" t="s">
        <v>180</v>
      </c>
      <c r="Y26" t="s">
        <v>138</v>
      </c>
      <c r="Z26" t="s">
        <v>128</v>
      </c>
    </row>
    <row r="27" spans="1:26" ht="15" customHeight="1">
      <c r="A27" s="9">
        <v>23</v>
      </c>
      <c r="B27" s="9" t="s">
        <v>181</v>
      </c>
      <c r="C27" s="9" t="s">
        <v>142</v>
      </c>
      <c r="D27" s="9" t="s">
        <v>130</v>
      </c>
      <c r="E27" s="9">
        <v>4</v>
      </c>
      <c r="F27" s="9">
        <v>16</v>
      </c>
      <c r="G27" s="9">
        <v>256</v>
      </c>
      <c r="H27" s="9">
        <v>0</v>
      </c>
      <c r="I27" s="9">
        <f t="shared" si="0"/>
        <v>256</v>
      </c>
      <c r="J27" s="9" t="s">
        <v>131</v>
      </c>
      <c r="K27" s="9" t="s">
        <v>132</v>
      </c>
      <c r="L27" s="9" t="s">
        <v>125</v>
      </c>
      <c r="M27" s="9">
        <f>IF(L27="3-Yr No Upfront",'Pricing Inputs'!$B$29,'Pricing Inputs'!$B$30)</f>
        <v>730</v>
      </c>
      <c r="N27" s="10">
        <f>IF(U27="m7a.2xlarge",IF(L27="3-Yr No Upfront",'Pricing Inputs'!$E$18,'Pricing Inputs'!$D$18),IFERROR(INDEX('Pricing Inputs'!$D$6:$G$14,MATCH(U27,'Pricing Inputs'!$A$6:$A$14,0),IF(L27="3-Yr No Upfront",IF(J27="Windows",4,3),IF(J27="Windows",2,1))),"CHECK"))</f>
        <v>0.29166999999999998</v>
      </c>
      <c r="O27" s="11">
        <f t="shared" si="1"/>
        <v>212.91909999999999</v>
      </c>
      <c r="P27" s="11">
        <f>I27*'Pricing Inputs'!$B$22</f>
        <v>24.371200000000002</v>
      </c>
      <c r="Q27" s="11">
        <f>I27*'Pricing Inputs'!$B$24*IF(OR(C27="Prod",C27="Prod/UAT/Dev"),'Pricing Inputs'!$B$31,'Pricing Inputs'!$B$32)</f>
        <v>19.200000000000003</v>
      </c>
      <c r="R27" s="11">
        <f>IF(Y27="Yes",('Pricing Inputs'!$B$25*'Pricing Inputs'!$B$29)+(I27*'Pricing Inputs'!$B$26*'Pricing Inputs'!$B$23),0)</f>
        <v>0</v>
      </c>
      <c r="S27" s="11">
        <f t="shared" si="2"/>
        <v>256.49029999999999</v>
      </c>
      <c r="T27" s="9"/>
      <c r="U27" s="12" t="s">
        <v>132</v>
      </c>
      <c r="V27" s="12">
        <v>4</v>
      </c>
      <c r="W27" s="12">
        <v>16</v>
      </c>
      <c r="X27" t="s">
        <v>182</v>
      </c>
      <c r="Y27" t="s">
        <v>138</v>
      </c>
      <c r="Z27" t="s">
        <v>134</v>
      </c>
    </row>
    <row r="28" spans="1:26" ht="15" customHeight="1">
      <c r="A28" s="9">
        <v>24</v>
      </c>
      <c r="B28" s="9" t="s">
        <v>183</v>
      </c>
      <c r="C28" s="9" t="s">
        <v>142</v>
      </c>
      <c r="D28" s="9" t="s">
        <v>184</v>
      </c>
      <c r="E28" s="9">
        <v>2</v>
      </c>
      <c r="F28" s="9">
        <v>8</v>
      </c>
      <c r="G28" s="9">
        <v>256</v>
      </c>
      <c r="H28" s="9">
        <v>0</v>
      </c>
      <c r="I28" s="9">
        <f t="shared" si="0"/>
        <v>256</v>
      </c>
      <c r="J28" s="9" t="s">
        <v>131</v>
      </c>
      <c r="K28" s="9" t="s">
        <v>124</v>
      </c>
      <c r="L28" s="9" t="s">
        <v>125</v>
      </c>
      <c r="M28" s="9">
        <f>IF(L28="3-Yr No Upfront",'Pricing Inputs'!$B$29,'Pricing Inputs'!$B$30)</f>
        <v>730</v>
      </c>
      <c r="N28" s="10">
        <f>IF(U28="m7a.2xlarge",IF(L28="3-Yr No Upfront",'Pricing Inputs'!$E$18,'Pricing Inputs'!$D$18),IFERROR(INDEX('Pricing Inputs'!$D$6:$G$14,MATCH(U28,'Pricing Inputs'!$A$6:$A$14,0),IF(L28="3-Yr No Upfront",IF(J28="Windows",4,3),IF(J28="Windows",2,1))),"CHECK"))</f>
        <v>0.14582999999999999</v>
      </c>
      <c r="O28" s="11">
        <f t="shared" si="1"/>
        <v>106.45589999999999</v>
      </c>
      <c r="P28" s="11">
        <f>I28*'Pricing Inputs'!$B$22</f>
        <v>24.371200000000002</v>
      </c>
      <c r="Q28" s="11">
        <f>I28*'Pricing Inputs'!$B$24*IF(OR(C28="Prod",C28="Prod/UAT/Dev"),'Pricing Inputs'!$B$31,'Pricing Inputs'!$B$32)</f>
        <v>19.200000000000003</v>
      </c>
      <c r="R28" s="11">
        <f>IF(Y28="Yes",('Pricing Inputs'!$B$25*'Pricing Inputs'!$B$29)+(I28*'Pricing Inputs'!$B$26*'Pricing Inputs'!$B$23),0)</f>
        <v>0</v>
      </c>
      <c r="S28" s="11">
        <f t="shared" si="2"/>
        <v>150.02709999999996</v>
      </c>
      <c r="T28" s="9"/>
      <c r="U28" s="12" t="s">
        <v>124</v>
      </c>
      <c r="V28" s="12">
        <v>2</v>
      </c>
      <c r="W28" s="12">
        <v>8</v>
      </c>
      <c r="X28" t="s">
        <v>185</v>
      </c>
      <c r="Y28" t="s">
        <v>138</v>
      </c>
      <c r="Z28" t="s">
        <v>134</v>
      </c>
    </row>
    <row r="29" spans="1:26" ht="15" customHeight="1">
      <c r="A29" s="9">
        <v>25</v>
      </c>
      <c r="B29" s="9" t="s">
        <v>186</v>
      </c>
      <c r="C29" s="9" t="s">
        <v>142</v>
      </c>
      <c r="D29" s="9" t="s">
        <v>143</v>
      </c>
      <c r="E29" s="9">
        <v>4</v>
      </c>
      <c r="F29" s="9">
        <v>16</v>
      </c>
      <c r="G29" s="9">
        <v>127</v>
      </c>
      <c r="H29" s="9">
        <v>0</v>
      </c>
      <c r="I29" s="9">
        <f t="shared" si="0"/>
        <v>127</v>
      </c>
      <c r="J29" s="9" t="s">
        <v>131</v>
      </c>
      <c r="K29" s="9" t="s">
        <v>132</v>
      </c>
      <c r="L29" s="9" t="s">
        <v>125</v>
      </c>
      <c r="M29" s="9">
        <f>IF(L29="3-Yr No Upfront",'Pricing Inputs'!$B$29,'Pricing Inputs'!$B$30)</f>
        <v>730</v>
      </c>
      <c r="N29" s="10">
        <f>IF(U29="m7a.2xlarge",IF(L29="3-Yr No Upfront",'Pricing Inputs'!$E$18,'Pricing Inputs'!$D$18),IFERROR(INDEX('Pricing Inputs'!$D$6:$G$14,MATCH(U29,'Pricing Inputs'!$A$6:$A$14,0),IF(L29="3-Yr No Upfront",IF(J29="Windows",4,3),IF(J29="Windows",2,1))),"CHECK"))</f>
        <v>0.16336000000000001</v>
      </c>
      <c r="O29" s="11">
        <f t="shared" si="1"/>
        <v>119.25280000000001</v>
      </c>
      <c r="P29" s="11">
        <f>I29*'Pricing Inputs'!$B$22</f>
        <v>12.090400000000001</v>
      </c>
      <c r="Q29" s="11">
        <f>I29*'Pricing Inputs'!$B$24*IF(OR(C29="Prod",C29="Prod/UAT/Dev"),'Pricing Inputs'!$B$31,'Pricing Inputs'!$B$32)</f>
        <v>9.5250000000000004</v>
      </c>
      <c r="R29" s="11">
        <f>IF(Y29="Yes",('Pricing Inputs'!$B$25*'Pricing Inputs'!$B$29)+(I29*'Pricing Inputs'!$B$26*'Pricing Inputs'!$B$23),0)</f>
        <v>0</v>
      </c>
      <c r="S29" s="11">
        <f t="shared" si="2"/>
        <v>140.8682</v>
      </c>
      <c r="T29" s="9"/>
      <c r="U29" s="13" t="s">
        <v>146</v>
      </c>
      <c r="V29" s="13">
        <v>2</v>
      </c>
      <c r="W29" s="13">
        <v>16</v>
      </c>
      <c r="X29" t="s">
        <v>187</v>
      </c>
      <c r="Y29" t="s">
        <v>138</v>
      </c>
      <c r="Z29" t="s">
        <v>134</v>
      </c>
    </row>
    <row r="30" spans="1:26" ht="15" customHeight="1">
      <c r="A30" s="9">
        <v>26</v>
      </c>
      <c r="B30" s="9" t="s">
        <v>188</v>
      </c>
      <c r="C30" s="9" t="s">
        <v>142</v>
      </c>
      <c r="D30" s="9" t="s">
        <v>130</v>
      </c>
      <c r="E30" s="9">
        <v>4</v>
      </c>
      <c r="F30" s="9">
        <v>16</v>
      </c>
      <c r="G30" s="9">
        <v>256</v>
      </c>
      <c r="H30" s="9">
        <v>0</v>
      </c>
      <c r="I30" s="9">
        <f t="shared" si="0"/>
        <v>256</v>
      </c>
      <c r="J30" s="9" t="s">
        <v>131</v>
      </c>
      <c r="K30" s="9" t="s">
        <v>132</v>
      </c>
      <c r="L30" s="9" t="s">
        <v>125</v>
      </c>
      <c r="M30" s="9">
        <f>IF(L30="3-Yr No Upfront",'Pricing Inputs'!$B$29,'Pricing Inputs'!$B$30)</f>
        <v>730</v>
      </c>
      <c r="N30" s="10">
        <f>IF(U30="m7a.2xlarge",IF(L30="3-Yr No Upfront",'Pricing Inputs'!$E$18,'Pricing Inputs'!$D$18),IFERROR(INDEX('Pricing Inputs'!$D$6:$G$14,MATCH(U30,'Pricing Inputs'!$A$6:$A$14,0),IF(L30="3-Yr No Upfront",IF(J30="Windows",4,3),IF(J30="Windows",2,1))),"CHECK"))</f>
        <v>0.29166999999999998</v>
      </c>
      <c r="O30" s="11">
        <f t="shared" si="1"/>
        <v>212.91909999999999</v>
      </c>
      <c r="P30" s="11">
        <f>I30*'Pricing Inputs'!$B$22</f>
        <v>24.371200000000002</v>
      </c>
      <c r="Q30" s="11">
        <f>I30*'Pricing Inputs'!$B$24*IF(OR(C30="Prod",C30="Prod/UAT/Dev"),'Pricing Inputs'!$B$31,'Pricing Inputs'!$B$32)</f>
        <v>19.200000000000003</v>
      </c>
      <c r="R30" s="11">
        <f>IF(Y30="Yes",('Pricing Inputs'!$B$25*'Pricing Inputs'!$B$29)+(I30*'Pricing Inputs'!$B$26*'Pricing Inputs'!$B$23),0)</f>
        <v>0</v>
      </c>
      <c r="S30" s="11">
        <f t="shared" si="2"/>
        <v>256.49029999999999</v>
      </c>
      <c r="T30" s="9"/>
      <c r="U30" s="12" t="s">
        <v>132</v>
      </c>
      <c r="V30" s="12">
        <v>4</v>
      </c>
      <c r="W30" s="12">
        <v>16</v>
      </c>
      <c r="X30" t="s">
        <v>189</v>
      </c>
      <c r="Y30" t="s">
        <v>138</v>
      </c>
      <c r="Z30" t="s">
        <v>134</v>
      </c>
    </row>
    <row r="31" spans="1:26" ht="15" customHeight="1">
      <c r="A31" s="9">
        <v>27</v>
      </c>
      <c r="B31" s="9" t="s">
        <v>190</v>
      </c>
      <c r="C31" s="9" t="s">
        <v>142</v>
      </c>
      <c r="D31" s="9" t="s">
        <v>130</v>
      </c>
      <c r="E31" s="9">
        <v>4</v>
      </c>
      <c r="F31" s="9">
        <v>16</v>
      </c>
      <c r="G31" s="9">
        <v>256</v>
      </c>
      <c r="H31" s="9">
        <v>0</v>
      </c>
      <c r="I31" s="9">
        <f t="shared" si="0"/>
        <v>256</v>
      </c>
      <c r="J31" s="9" t="s">
        <v>131</v>
      </c>
      <c r="K31" s="9" t="s">
        <v>132</v>
      </c>
      <c r="L31" s="9" t="s">
        <v>125</v>
      </c>
      <c r="M31" s="9">
        <f>IF(L31="3-Yr No Upfront",'Pricing Inputs'!$B$29,'Pricing Inputs'!$B$30)</f>
        <v>730</v>
      </c>
      <c r="N31" s="10">
        <f>IF(U31="m7a.2xlarge",IF(L31="3-Yr No Upfront",'Pricing Inputs'!$E$18,'Pricing Inputs'!$D$18),IFERROR(INDEX('Pricing Inputs'!$D$6:$G$14,MATCH(U31,'Pricing Inputs'!$A$6:$A$14,0),IF(L31="3-Yr No Upfront",IF(J31="Windows",4,3),IF(J31="Windows",2,1))),"CHECK"))</f>
        <v>0.29166999999999998</v>
      </c>
      <c r="O31" s="11">
        <f t="shared" si="1"/>
        <v>212.91909999999999</v>
      </c>
      <c r="P31" s="11">
        <f>I31*'Pricing Inputs'!$B$22</f>
        <v>24.371200000000002</v>
      </c>
      <c r="Q31" s="11">
        <f>I31*'Pricing Inputs'!$B$24*IF(OR(C31="Prod",C31="Prod/UAT/Dev"),'Pricing Inputs'!$B$31,'Pricing Inputs'!$B$32)</f>
        <v>19.200000000000003</v>
      </c>
      <c r="R31" s="11">
        <f>IF(Y31="Yes",('Pricing Inputs'!$B$25*'Pricing Inputs'!$B$29)+(I31*'Pricing Inputs'!$B$26*'Pricing Inputs'!$B$23),0)</f>
        <v>0</v>
      </c>
      <c r="S31" s="11">
        <f t="shared" si="2"/>
        <v>256.49029999999999</v>
      </c>
      <c r="T31" s="9"/>
      <c r="U31" s="12" t="s">
        <v>132</v>
      </c>
      <c r="V31" s="12">
        <v>4</v>
      </c>
      <c r="W31" s="12">
        <v>16</v>
      </c>
      <c r="X31" t="s">
        <v>191</v>
      </c>
      <c r="Y31" t="s">
        <v>138</v>
      </c>
      <c r="Z31" t="s">
        <v>134</v>
      </c>
    </row>
    <row r="32" spans="1:26" ht="15" customHeight="1">
      <c r="A32" s="9">
        <v>28</v>
      </c>
      <c r="B32" s="9" t="s">
        <v>192</v>
      </c>
      <c r="C32" s="9" t="s">
        <v>142</v>
      </c>
      <c r="D32" s="9" t="s">
        <v>130</v>
      </c>
      <c r="E32" s="9">
        <v>4</v>
      </c>
      <c r="F32" s="9">
        <v>16</v>
      </c>
      <c r="G32" s="9">
        <v>256</v>
      </c>
      <c r="H32" s="9">
        <v>0</v>
      </c>
      <c r="I32" s="9">
        <f t="shared" si="0"/>
        <v>256</v>
      </c>
      <c r="J32" s="9" t="s">
        <v>131</v>
      </c>
      <c r="K32" s="9" t="s">
        <v>132</v>
      </c>
      <c r="L32" s="9" t="s">
        <v>125</v>
      </c>
      <c r="M32" s="9">
        <f>IF(L32="3-Yr No Upfront",'Pricing Inputs'!$B$29,'Pricing Inputs'!$B$30)</f>
        <v>730</v>
      </c>
      <c r="N32" s="10">
        <f>IF(U32="m7a.2xlarge",IF(L32="3-Yr No Upfront",'Pricing Inputs'!$E$18,'Pricing Inputs'!$D$18),IFERROR(INDEX('Pricing Inputs'!$D$6:$G$14,MATCH(U32,'Pricing Inputs'!$A$6:$A$14,0),IF(L32="3-Yr No Upfront",IF(J32="Windows",4,3),IF(J32="Windows",2,1))),"CHECK"))</f>
        <v>0.29166999999999998</v>
      </c>
      <c r="O32" s="11">
        <f t="shared" si="1"/>
        <v>212.91909999999999</v>
      </c>
      <c r="P32" s="11">
        <f>I32*'Pricing Inputs'!$B$22</f>
        <v>24.371200000000002</v>
      </c>
      <c r="Q32" s="11">
        <f>I32*'Pricing Inputs'!$B$24*IF(OR(C32="Prod",C32="Prod/UAT/Dev"),'Pricing Inputs'!$B$31,'Pricing Inputs'!$B$32)</f>
        <v>19.200000000000003</v>
      </c>
      <c r="R32" s="11">
        <f>IF(Y32="Yes",('Pricing Inputs'!$B$25*'Pricing Inputs'!$B$29)+(I32*'Pricing Inputs'!$B$26*'Pricing Inputs'!$B$23),0)</f>
        <v>0</v>
      </c>
      <c r="S32" s="11">
        <f t="shared" si="2"/>
        <v>256.49029999999999</v>
      </c>
      <c r="T32" s="9"/>
      <c r="U32" s="12" t="s">
        <v>132</v>
      </c>
      <c r="V32" s="12">
        <v>4</v>
      </c>
      <c r="W32" s="12">
        <v>16</v>
      </c>
      <c r="X32" t="s">
        <v>193</v>
      </c>
      <c r="Y32" t="s">
        <v>138</v>
      </c>
      <c r="Z32" t="s">
        <v>134</v>
      </c>
    </row>
    <row r="33" spans="1:26" ht="15" customHeight="1">
      <c r="A33" s="9">
        <v>29</v>
      </c>
      <c r="B33" s="9" t="s">
        <v>194</v>
      </c>
      <c r="C33" s="9" t="s">
        <v>142</v>
      </c>
      <c r="D33" s="9" t="s">
        <v>130</v>
      </c>
      <c r="E33" s="9">
        <v>4</v>
      </c>
      <c r="F33" s="9">
        <v>16</v>
      </c>
      <c r="G33" s="9">
        <v>256</v>
      </c>
      <c r="H33" s="9">
        <v>0</v>
      </c>
      <c r="I33" s="9">
        <f t="shared" si="0"/>
        <v>256</v>
      </c>
      <c r="J33" s="9" t="s">
        <v>131</v>
      </c>
      <c r="K33" s="9" t="s">
        <v>132</v>
      </c>
      <c r="L33" s="9" t="s">
        <v>125</v>
      </c>
      <c r="M33" s="9">
        <f>IF(L33="3-Yr No Upfront",'Pricing Inputs'!$B$29,'Pricing Inputs'!$B$30)</f>
        <v>730</v>
      </c>
      <c r="N33" s="10">
        <f>IF(U33="m7a.2xlarge",IF(L33="3-Yr No Upfront",'Pricing Inputs'!$E$18,'Pricing Inputs'!$D$18),IFERROR(INDEX('Pricing Inputs'!$D$6:$G$14,MATCH(U33,'Pricing Inputs'!$A$6:$A$14,0),IF(L33="3-Yr No Upfront",IF(J33="Windows",4,3),IF(J33="Windows",2,1))),"CHECK"))</f>
        <v>0.29166999999999998</v>
      </c>
      <c r="O33" s="11">
        <f t="shared" si="1"/>
        <v>212.91909999999999</v>
      </c>
      <c r="P33" s="11">
        <f>I33*'Pricing Inputs'!$B$22</f>
        <v>24.371200000000002</v>
      </c>
      <c r="Q33" s="11">
        <f>I33*'Pricing Inputs'!$B$24*IF(OR(C33="Prod",C33="Prod/UAT/Dev"),'Pricing Inputs'!$B$31,'Pricing Inputs'!$B$32)</f>
        <v>19.200000000000003</v>
      </c>
      <c r="R33" s="11">
        <f>IF(Y33="Yes",('Pricing Inputs'!$B$25*'Pricing Inputs'!$B$29)+(I33*'Pricing Inputs'!$B$26*'Pricing Inputs'!$B$23),0)</f>
        <v>0</v>
      </c>
      <c r="S33" s="11">
        <f t="shared" si="2"/>
        <v>256.49029999999999</v>
      </c>
      <c r="T33" s="9"/>
      <c r="U33" s="12" t="s">
        <v>132</v>
      </c>
      <c r="V33" s="12">
        <v>4</v>
      </c>
      <c r="W33" s="12">
        <v>16</v>
      </c>
      <c r="X33" t="s">
        <v>195</v>
      </c>
      <c r="Y33" t="s">
        <v>138</v>
      </c>
      <c r="Z33" t="s">
        <v>134</v>
      </c>
    </row>
    <row r="34" spans="1:26" ht="15" customHeight="1">
      <c r="A34" s="9">
        <v>30</v>
      </c>
      <c r="B34" s="9" t="s">
        <v>196</v>
      </c>
      <c r="C34" s="9" t="s">
        <v>142</v>
      </c>
      <c r="D34" s="9" t="s">
        <v>130</v>
      </c>
      <c r="E34" s="9">
        <v>4</v>
      </c>
      <c r="F34" s="9">
        <v>16</v>
      </c>
      <c r="G34" s="9">
        <v>256</v>
      </c>
      <c r="H34" s="9">
        <v>0</v>
      </c>
      <c r="I34" s="9">
        <f t="shared" si="0"/>
        <v>256</v>
      </c>
      <c r="J34" s="9" t="s">
        <v>131</v>
      </c>
      <c r="K34" s="9" t="s">
        <v>132</v>
      </c>
      <c r="L34" s="9" t="s">
        <v>125</v>
      </c>
      <c r="M34" s="9">
        <f>IF(L34="3-Yr No Upfront",'Pricing Inputs'!$B$29,'Pricing Inputs'!$B$30)</f>
        <v>730</v>
      </c>
      <c r="N34" s="10">
        <f>IF(U34="m7a.2xlarge",IF(L34="3-Yr No Upfront",'Pricing Inputs'!$E$18,'Pricing Inputs'!$D$18),IFERROR(INDEX('Pricing Inputs'!$D$6:$G$14,MATCH(U34,'Pricing Inputs'!$A$6:$A$14,0),IF(L34="3-Yr No Upfront",IF(J34="Windows",4,3),IF(J34="Windows",2,1))),"CHECK"))</f>
        <v>0.16336000000000001</v>
      </c>
      <c r="O34" s="11">
        <f t="shared" si="1"/>
        <v>119.25280000000001</v>
      </c>
      <c r="P34" s="11">
        <f>I34*'Pricing Inputs'!$B$22</f>
        <v>24.371200000000002</v>
      </c>
      <c r="Q34" s="11">
        <f>I34*'Pricing Inputs'!$B$24*IF(OR(C34="Prod",C34="Prod/UAT/Dev"),'Pricing Inputs'!$B$31,'Pricing Inputs'!$B$32)</f>
        <v>19.200000000000003</v>
      </c>
      <c r="R34" s="11">
        <f>IF(Y34="Yes",('Pricing Inputs'!$B$25*'Pricing Inputs'!$B$29)+(I34*'Pricing Inputs'!$B$26*'Pricing Inputs'!$B$23),0)</f>
        <v>0</v>
      </c>
      <c r="S34" s="11">
        <f t="shared" si="2"/>
        <v>162.82400000000001</v>
      </c>
      <c r="T34" s="9"/>
      <c r="U34" s="13" t="s">
        <v>146</v>
      </c>
      <c r="V34" s="13">
        <v>2</v>
      </c>
      <c r="W34" s="13">
        <v>16</v>
      </c>
      <c r="X34" t="s">
        <v>197</v>
      </c>
      <c r="Y34" t="s">
        <v>138</v>
      </c>
      <c r="Z34" t="s">
        <v>134</v>
      </c>
    </row>
    <row r="35" spans="1:26" ht="15" customHeight="1">
      <c r="A35" s="9">
        <v>31</v>
      </c>
      <c r="B35" s="9" t="s">
        <v>198</v>
      </c>
      <c r="C35" s="9" t="s">
        <v>121</v>
      </c>
      <c r="D35" s="9" t="s">
        <v>130</v>
      </c>
      <c r="E35" s="9">
        <v>4</v>
      </c>
      <c r="F35" s="9">
        <v>16</v>
      </c>
      <c r="G35" s="9">
        <v>256</v>
      </c>
      <c r="H35" s="9">
        <v>0</v>
      </c>
      <c r="I35" s="9">
        <f t="shared" si="0"/>
        <v>256</v>
      </c>
      <c r="J35" s="9" t="s">
        <v>131</v>
      </c>
      <c r="K35" s="9" t="s">
        <v>132</v>
      </c>
      <c r="L35" s="9" t="s">
        <v>125</v>
      </c>
      <c r="M35" s="9">
        <f>IF(L35="3-Yr No Upfront",'Pricing Inputs'!$B$29,'Pricing Inputs'!$B$30)</f>
        <v>730</v>
      </c>
      <c r="N35" s="10">
        <f>IF(U35="m7a.2xlarge",IF(L35="3-Yr No Upfront",'Pricing Inputs'!$E$18,'Pricing Inputs'!$D$18),IFERROR(INDEX('Pricing Inputs'!$D$6:$G$14,MATCH(U35,'Pricing Inputs'!$A$6:$A$14,0),IF(L35="3-Yr No Upfront",IF(J35="Windows",4,3),IF(J35="Windows",2,1))),"CHECK"))</f>
        <v>0.29166999999999998</v>
      </c>
      <c r="O35" s="11">
        <f t="shared" si="1"/>
        <v>212.91909999999999</v>
      </c>
      <c r="P35" s="11">
        <f>I35*'Pricing Inputs'!$B$22</f>
        <v>24.371200000000002</v>
      </c>
      <c r="Q35" s="11">
        <f>I35*'Pricing Inputs'!$B$24*IF(OR(C35="Prod",C35="Prod/UAT/Dev"),'Pricing Inputs'!$B$31,'Pricing Inputs'!$B$32)</f>
        <v>19.200000000000003</v>
      </c>
      <c r="R35" s="11">
        <f>IF(Y35="Yes",('Pricing Inputs'!$B$25*'Pricing Inputs'!$B$29)+(I35*'Pricing Inputs'!$B$26*'Pricing Inputs'!$B$23),0)</f>
        <v>24.945600000000002</v>
      </c>
      <c r="S35" s="11">
        <f t="shared" si="2"/>
        <v>281.4359</v>
      </c>
      <c r="T35" s="9"/>
      <c r="U35" s="12" t="s">
        <v>132</v>
      </c>
      <c r="V35" s="12">
        <v>4</v>
      </c>
      <c r="W35" s="12">
        <v>16</v>
      </c>
      <c r="X35" t="s">
        <v>199</v>
      </c>
      <c r="Y35" t="s">
        <v>127</v>
      </c>
      <c r="Z35" t="s">
        <v>134</v>
      </c>
    </row>
    <row r="36" spans="1:26" ht="15" customHeight="1">
      <c r="A36" s="9">
        <v>32</v>
      </c>
      <c r="B36" s="9" t="s">
        <v>200</v>
      </c>
      <c r="C36" s="9" t="s">
        <v>121</v>
      </c>
      <c r="D36" s="9" t="s">
        <v>130</v>
      </c>
      <c r="E36" s="9">
        <v>4</v>
      </c>
      <c r="F36" s="9">
        <v>16</v>
      </c>
      <c r="G36" s="9">
        <v>256</v>
      </c>
      <c r="H36" s="9">
        <v>0</v>
      </c>
      <c r="I36" s="9">
        <f t="shared" si="0"/>
        <v>256</v>
      </c>
      <c r="J36" s="9" t="s">
        <v>131</v>
      </c>
      <c r="K36" s="9" t="s">
        <v>132</v>
      </c>
      <c r="L36" s="9" t="s">
        <v>125</v>
      </c>
      <c r="M36" s="9">
        <f>IF(L36="3-Yr No Upfront",'Pricing Inputs'!$B$29,'Pricing Inputs'!$B$30)</f>
        <v>730</v>
      </c>
      <c r="N36" s="10">
        <f>IF(U36="m7a.2xlarge",IF(L36="3-Yr No Upfront",'Pricing Inputs'!$E$18,'Pricing Inputs'!$D$18),IFERROR(INDEX('Pricing Inputs'!$D$6:$G$14,MATCH(U36,'Pricing Inputs'!$A$6:$A$14,0),IF(L36="3-Yr No Upfront",IF(J36="Windows",4,3),IF(J36="Windows",2,1))),"CHECK"))</f>
        <v>0.29166999999999998</v>
      </c>
      <c r="O36" s="11">
        <f t="shared" si="1"/>
        <v>212.91909999999999</v>
      </c>
      <c r="P36" s="11">
        <f>I36*'Pricing Inputs'!$B$22</f>
        <v>24.371200000000002</v>
      </c>
      <c r="Q36" s="11">
        <f>I36*'Pricing Inputs'!$B$24*IF(OR(C36="Prod",C36="Prod/UAT/Dev"),'Pricing Inputs'!$B$31,'Pricing Inputs'!$B$32)</f>
        <v>19.200000000000003</v>
      </c>
      <c r="R36" s="11">
        <f>IF(Y36="Yes",('Pricing Inputs'!$B$25*'Pricing Inputs'!$B$29)+(I36*'Pricing Inputs'!$B$26*'Pricing Inputs'!$B$23),0)</f>
        <v>24.945600000000002</v>
      </c>
      <c r="S36" s="11">
        <f t="shared" si="2"/>
        <v>281.4359</v>
      </c>
      <c r="T36" s="9"/>
      <c r="U36" s="12" t="s">
        <v>132</v>
      </c>
      <c r="V36" s="12">
        <v>4</v>
      </c>
      <c r="W36" s="12">
        <v>16</v>
      </c>
      <c r="X36" t="s">
        <v>201</v>
      </c>
      <c r="Y36" t="s">
        <v>127</v>
      </c>
      <c r="Z36" t="s">
        <v>134</v>
      </c>
    </row>
    <row r="37" spans="1:26" ht="15" customHeight="1">
      <c r="A37" s="9">
        <v>33</v>
      </c>
      <c r="B37" s="9" t="s">
        <v>202</v>
      </c>
      <c r="C37" s="9" t="s">
        <v>121</v>
      </c>
      <c r="D37" s="9" t="s">
        <v>130</v>
      </c>
      <c r="E37" s="9">
        <v>4</v>
      </c>
      <c r="F37" s="9">
        <v>16</v>
      </c>
      <c r="G37" s="9">
        <v>100</v>
      </c>
      <c r="H37" s="9">
        <v>50</v>
      </c>
      <c r="I37" s="9">
        <f t="shared" ref="I37:I68" si="3">G37+H37</f>
        <v>150</v>
      </c>
      <c r="J37" s="9" t="s">
        <v>131</v>
      </c>
      <c r="K37" s="9" t="s">
        <v>132</v>
      </c>
      <c r="L37" s="9" t="s">
        <v>125</v>
      </c>
      <c r="M37" s="9">
        <f>IF(L37="3-Yr No Upfront",'Pricing Inputs'!$B$29,'Pricing Inputs'!$B$30)</f>
        <v>730</v>
      </c>
      <c r="N37" s="10">
        <f>IF(U37="m7a.2xlarge",IF(L37="3-Yr No Upfront",'Pricing Inputs'!$E$18,'Pricing Inputs'!$D$18),IFERROR(INDEX('Pricing Inputs'!$D$6:$G$14,MATCH(U37,'Pricing Inputs'!$A$6:$A$14,0),IF(L37="3-Yr No Upfront",IF(J37="Windows",4,3),IF(J37="Windows",2,1))),"CHECK"))</f>
        <v>0.29166999999999998</v>
      </c>
      <c r="O37" s="11">
        <f t="shared" ref="O37:O68" si="4">M37*N37</f>
        <v>212.91909999999999</v>
      </c>
      <c r="P37" s="11">
        <f>I37*'Pricing Inputs'!$B$22</f>
        <v>14.280000000000001</v>
      </c>
      <c r="Q37" s="11">
        <f>I37*'Pricing Inputs'!$B$24*IF(OR(C37="Prod",C37="Prod/UAT/Dev"),'Pricing Inputs'!$B$31,'Pricing Inputs'!$B$32)</f>
        <v>11.25</v>
      </c>
      <c r="R37" s="11">
        <f>IF(Y37="Yes",('Pricing Inputs'!$B$25*'Pricing Inputs'!$B$29)+(I37*'Pricing Inputs'!$B$26*'Pricing Inputs'!$B$23),0)</f>
        <v>23.080000000000002</v>
      </c>
      <c r="S37" s="11">
        <f t="shared" ref="S37:S68" si="5">O37+P37+Q37+R37</f>
        <v>261.52909999999997</v>
      </c>
      <c r="T37" s="9"/>
      <c r="U37" s="12" t="s">
        <v>132</v>
      </c>
      <c r="V37" s="12">
        <v>4</v>
      </c>
      <c r="W37" s="12">
        <v>16</v>
      </c>
      <c r="X37" t="s">
        <v>203</v>
      </c>
      <c r="Y37" t="s">
        <v>127</v>
      </c>
      <c r="Z37" t="s">
        <v>134</v>
      </c>
    </row>
    <row r="38" spans="1:26" ht="15" customHeight="1">
      <c r="A38" s="9">
        <v>34</v>
      </c>
      <c r="B38" s="9" t="s">
        <v>204</v>
      </c>
      <c r="C38" s="9" t="s">
        <v>121</v>
      </c>
      <c r="D38" s="9" t="s">
        <v>130</v>
      </c>
      <c r="E38" s="9">
        <v>4</v>
      </c>
      <c r="F38" s="9">
        <v>16</v>
      </c>
      <c r="G38" s="9">
        <v>127</v>
      </c>
      <c r="H38" s="9">
        <v>2048</v>
      </c>
      <c r="I38" s="9">
        <f t="shared" si="3"/>
        <v>2175</v>
      </c>
      <c r="J38" s="9" t="s">
        <v>131</v>
      </c>
      <c r="K38" s="9" t="s">
        <v>132</v>
      </c>
      <c r="L38" s="9" t="s">
        <v>125</v>
      </c>
      <c r="M38" s="9">
        <f>IF(L38="3-Yr No Upfront",'Pricing Inputs'!$B$29,'Pricing Inputs'!$B$30)</f>
        <v>730</v>
      </c>
      <c r="N38" s="10">
        <f>IF(U38="m7a.2xlarge",IF(L38="3-Yr No Upfront",'Pricing Inputs'!$E$18,'Pricing Inputs'!$D$18),IFERROR(INDEX('Pricing Inputs'!$D$6:$G$14,MATCH(U38,'Pricing Inputs'!$A$6:$A$14,0),IF(L38="3-Yr No Upfront",IF(J38="Windows",4,3),IF(J38="Windows",2,1))),"CHECK"))</f>
        <v>0.14582999999999999</v>
      </c>
      <c r="O38" s="11">
        <f t="shared" si="4"/>
        <v>106.45589999999999</v>
      </c>
      <c r="P38" s="11">
        <f>I38*'Pricing Inputs'!$B$22</f>
        <v>207.06</v>
      </c>
      <c r="Q38" s="11">
        <f>I38*'Pricing Inputs'!$B$24*IF(OR(C38="Prod",C38="Prod/UAT/Dev"),'Pricing Inputs'!$B$31,'Pricing Inputs'!$B$32)</f>
        <v>163.125</v>
      </c>
      <c r="R38" s="11">
        <f>IF(Y38="Yes",('Pricing Inputs'!$B$25*'Pricing Inputs'!$B$29)+(I38*'Pricing Inputs'!$B$26*'Pricing Inputs'!$B$23),0)</f>
        <v>58.72</v>
      </c>
      <c r="S38" s="11">
        <f t="shared" si="5"/>
        <v>535.36090000000002</v>
      </c>
      <c r="T38" s="9"/>
      <c r="U38" s="13" t="s">
        <v>124</v>
      </c>
      <c r="V38" s="13">
        <v>2</v>
      </c>
      <c r="W38" s="13">
        <v>8</v>
      </c>
      <c r="X38" t="s">
        <v>205</v>
      </c>
      <c r="Y38" t="s">
        <v>127</v>
      </c>
      <c r="Z38" t="s">
        <v>134</v>
      </c>
    </row>
    <row r="39" spans="1:26" ht="15" customHeight="1">
      <c r="A39" s="9">
        <v>35</v>
      </c>
      <c r="B39" s="9" t="s">
        <v>206</v>
      </c>
      <c r="C39" s="9" t="s">
        <v>121</v>
      </c>
      <c r="D39" s="9" t="s">
        <v>130</v>
      </c>
      <c r="E39" s="9">
        <v>4</v>
      </c>
      <c r="F39" s="9">
        <v>16</v>
      </c>
      <c r="G39" s="9">
        <v>127</v>
      </c>
      <c r="H39" s="9">
        <v>64</v>
      </c>
      <c r="I39" s="9">
        <f t="shared" si="3"/>
        <v>191</v>
      </c>
      <c r="J39" s="9" t="s">
        <v>131</v>
      </c>
      <c r="K39" s="9" t="s">
        <v>132</v>
      </c>
      <c r="L39" s="9" t="s">
        <v>125</v>
      </c>
      <c r="M39" s="9">
        <f>IF(L39="3-Yr No Upfront",'Pricing Inputs'!$B$29,'Pricing Inputs'!$B$30)</f>
        <v>730</v>
      </c>
      <c r="N39" s="10">
        <f>IF(U39="m7a.2xlarge",IF(L39="3-Yr No Upfront",'Pricing Inputs'!$E$18,'Pricing Inputs'!$D$18),IFERROR(INDEX('Pricing Inputs'!$D$6:$G$14,MATCH(U39,'Pricing Inputs'!$A$6:$A$14,0),IF(L39="3-Yr No Upfront",IF(J39="Windows",4,3),IF(J39="Windows",2,1))),"CHECK"))</f>
        <v>0.29166999999999998</v>
      </c>
      <c r="O39" s="11">
        <f t="shared" si="4"/>
        <v>212.91909999999999</v>
      </c>
      <c r="P39" s="11">
        <f>I39*'Pricing Inputs'!$B$22</f>
        <v>18.183200000000003</v>
      </c>
      <c r="Q39" s="11">
        <f>I39*'Pricing Inputs'!$B$24*IF(OR(C39="Prod",C39="Prod/UAT/Dev"),'Pricing Inputs'!$B$31,'Pricing Inputs'!$B$32)</f>
        <v>14.325000000000001</v>
      </c>
      <c r="R39" s="11">
        <f>IF(Y39="Yes",('Pricing Inputs'!$B$25*'Pricing Inputs'!$B$29)+(I39*'Pricing Inputs'!$B$26*'Pricing Inputs'!$B$23),0)</f>
        <v>23.801600000000001</v>
      </c>
      <c r="S39" s="11">
        <f t="shared" si="5"/>
        <v>269.22889999999995</v>
      </c>
      <c r="T39" s="9"/>
      <c r="U39" s="12" t="s">
        <v>132</v>
      </c>
      <c r="V39" s="12">
        <v>4</v>
      </c>
      <c r="W39" s="12">
        <v>16</v>
      </c>
      <c r="X39" t="s">
        <v>207</v>
      </c>
      <c r="Y39" t="s">
        <v>127</v>
      </c>
      <c r="Z39" t="s">
        <v>134</v>
      </c>
    </row>
    <row r="40" spans="1:26" ht="15" customHeight="1">
      <c r="A40" s="9">
        <v>36</v>
      </c>
      <c r="B40" s="9" t="s">
        <v>208</v>
      </c>
      <c r="C40" s="9" t="s">
        <v>121</v>
      </c>
      <c r="D40" s="9" t="s">
        <v>130</v>
      </c>
      <c r="E40" s="9">
        <v>4</v>
      </c>
      <c r="F40" s="9">
        <v>16</v>
      </c>
      <c r="G40" s="9">
        <v>127</v>
      </c>
      <c r="H40" s="9">
        <v>128</v>
      </c>
      <c r="I40" s="9">
        <f t="shared" si="3"/>
        <v>255</v>
      </c>
      <c r="J40" s="9" t="s">
        <v>131</v>
      </c>
      <c r="K40" s="9" t="s">
        <v>132</v>
      </c>
      <c r="L40" s="9" t="s">
        <v>125</v>
      </c>
      <c r="M40" s="9">
        <f>IF(L40="3-Yr No Upfront",'Pricing Inputs'!$B$29,'Pricing Inputs'!$B$30)</f>
        <v>730</v>
      </c>
      <c r="N40" s="10">
        <f>IF(U40="m7a.2xlarge",IF(L40="3-Yr No Upfront",'Pricing Inputs'!$E$18,'Pricing Inputs'!$D$18),IFERROR(INDEX('Pricing Inputs'!$D$6:$G$14,MATCH(U40,'Pricing Inputs'!$A$6:$A$14,0),IF(L40="3-Yr No Upfront",IF(J40="Windows",4,3),IF(J40="Windows",2,1))),"CHECK"))</f>
        <v>0.16336000000000001</v>
      </c>
      <c r="O40" s="11">
        <f t="shared" si="4"/>
        <v>119.25280000000001</v>
      </c>
      <c r="P40" s="11">
        <f>I40*'Pricing Inputs'!$B$22</f>
        <v>24.276000000000003</v>
      </c>
      <c r="Q40" s="11">
        <f>I40*'Pricing Inputs'!$B$24*IF(OR(C40="Prod",C40="Prod/UAT/Dev"),'Pricing Inputs'!$B$31,'Pricing Inputs'!$B$32)</f>
        <v>19.125</v>
      </c>
      <c r="R40" s="11">
        <f>IF(Y40="Yes",('Pricing Inputs'!$B$25*'Pricing Inputs'!$B$29)+(I40*'Pricing Inputs'!$B$26*'Pricing Inputs'!$B$23),0)</f>
        <v>24.928000000000001</v>
      </c>
      <c r="S40" s="11">
        <f t="shared" si="5"/>
        <v>187.58180000000002</v>
      </c>
      <c r="T40" s="9"/>
      <c r="U40" s="13" t="s">
        <v>146</v>
      </c>
      <c r="V40" s="13">
        <v>2</v>
      </c>
      <c r="W40" s="13">
        <v>16</v>
      </c>
      <c r="X40" t="s">
        <v>209</v>
      </c>
      <c r="Y40" t="s">
        <v>127</v>
      </c>
      <c r="Z40" t="s">
        <v>134</v>
      </c>
    </row>
    <row r="41" spans="1:26" ht="15" customHeight="1">
      <c r="A41" s="9">
        <v>37</v>
      </c>
      <c r="B41" s="9" t="s">
        <v>210</v>
      </c>
      <c r="C41" s="9" t="s">
        <v>40</v>
      </c>
      <c r="D41" s="9" t="s">
        <v>130</v>
      </c>
      <c r="E41" s="9">
        <v>4</v>
      </c>
      <c r="F41" s="9">
        <v>16</v>
      </c>
      <c r="G41" s="9">
        <v>127</v>
      </c>
      <c r="H41" s="9">
        <v>128</v>
      </c>
      <c r="I41" s="9">
        <f t="shared" si="3"/>
        <v>255</v>
      </c>
      <c r="J41" s="9" t="s">
        <v>131</v>
      </c>
      <c r="K41" s="9" t="s">
        <v>132</v>
      </c>
      <c r="L41" s="9" t="s">
        <v>136</v>
      </c>
      <c r="M41" s="9">
        <f>IF(L41="3-Yr No Upfront",'Pricing Inputs'!$B$29,'Pricing Inputs'!$B$30)</f>
        <v>260</v>
      </c>
      <c r="N41" s="10">
        <f>IF(U41="m7a.2xlarge",IF(L41="3-Yr No Upfront",'Pricing Inputs'!$E$18,'Pricing Inputs'!$D$18),IFERROR(INDEX('Pricing Inputs'!$D$6:$G$14,MATCH(U41,'Pricing Inputs'!$A$6:$A$14,0),IF(L41="3-Yr No Upfront",IF(J41="Windows",4,3),IF(J41="Windows",2,1))),"CHECK"))</f>
        <v>0.19550000000000001</v>
      </c>
      <c r="O41" s="11">
        <f t="shared" si="4"/>
        <v>50.83</v>
      </c>
      <c r="P41" s="11">
        <f>I41*'Pricing Inputs'!$B$22</f>
        <v>24.276000000000003</v>
      </c>
      <c r="Q41" s="11">
        <f>I41*'Pricing Inputs'!$B$24*IF(OR(C41="Prod",C41="Prod/UAT/Dev"),'Pricing Inputs'!$B$31,'Pricing Inputs'!$B$32)</f>
        <v>15.299999999999999</v>
      </c>
      <c r="R41" s="11">
        <f>IF(Y41="Yes",('Pricing Inputs'!$B$25*'Pricing Inputs'!$B$29)+(I41*'Pricing Inputs'!$B$26*'Pricing Inputs'!$B$23),0)</f>
        <v>0</v>
      </c>
      <c r="S41" s="11">
        <f t="shared" si="5"/>
        <v>90.405999999999992</v>
      </c>
      <c r="T41" s="9"/>
      <c r="U41" s="13" t="s">
        <v>124</v>
      </c>
      <c r="V41" s="13">
        <v>2</v>
      </c>
      <c r="W41" s="13">
        <v>8</v>
      </c>
      <c r="X41" t="s">
        <v>211</v>
      </c>
      <c r="Y41" t="s">
        <v>138</v>
      </c>
      <c r="Z41" t="s">
        <v>134</v>
      </c>
    </row>
    <row r="42" spans="1:26" ht="15" customHeight="1">
      <c r="A42" s="9">
        <v>38</v>
      </c>
      <c r="B42" s="9" t="s">
        <v>212</v>
      </c>
      <c r="C42" s="9" t="s">
        <v>121</v>
      </c>
      <c r="D42" s="9" t="s">
        <v>213</v>
      </c>
      <c r="E42" s="9">
        <v>8</v>
      </c>
      <c r="F42" s="9">
        <v>16</v>
      </c>
      <c r="G42" s="9">
        <v>127</v>
      </c>
      <c r="H42" s="9">
        <v>128</v>
      </c>
      <c r="I42" s="9">
        <f t="shared" si="3"/>
        <v>255</v>
      </c>
      <c r="J42" s="9" t="s">
        <v>131</v>
      </c>
      <c r="K42" s="9" t="s">
        <v>214</v>
      </c>
      <c r="L42" s="9" t="s">
        <v>125</v>
      </c>
      <c r="M42" s="9">
        <f>IF(L42="3-Yr No Upfront",'Pricing Inputs'!$B$29,'Pricing Inputs'!$B$30)</f>
        <v>730</v>
      </c>
      <c r="N42" s="10">
        <f>IF(U42="m7a.2xlarge",IF(L42="3-Yr No Upfront",'Pricing Inputs'!$E$18,'Pricing Inputs'!$D$18),IFERROR(INDEX('Pricing Inputs'!$D$6:$G$14,MATCH(U42,'Pricing Inputs'!$A$6:$A$14,0),IF(L42="3-Yr No Upfront",IF(J42="Windows",4,3),IF(J42="Windows",2,1))),"CHECK"))</f>
        <v>0.54918</v>
      </c>
      <c r="O42" s="11">
        <f t="shared" si="4"/>
        <v>400.90140000000002</v>
      </c>
      <c r="P42" s="11">
        <f>I42*'Pricing Inputs'!$B$22</f>
        <v>24.276000000000003</v>
      </c>
      <c r="Q42" s="11">
        <f>I42*'Pricing Inputs'!$B$24*IF(OR(C42="Prod",C42="Prod/UAT/Dev"),'Pricing Inputs'!$B$31,'Pricing Inputs'!$B$32)</f>
        <v>19.125</v>
      </c>
      <c r="R42" s="11">
        <f>IF(Y42="Yes",('Pricing Inputs'!$B$25*'Pricing Inputs'!$B$29)+(I42*'Pricing Inputs'!$B$26*'Pricing Inputs'!$B$23),0)</f>
        <v>24.928000000000001</v>
      </c>
      <c r="S42" s="11">
        <f t="shared" si="5"/>
        <v>469.23040000000003</v>
      </c>
      <c r="T42" s="9"/>
      <c r="U42" s="12" t="s">
        <v>214</v>
      </c>
      <c r="V42" s="12">
        <v>8</v>
      </c>
      <c r="W42" s="12">
        <v>16</v>
      </c>
      <c r="X42" t="s">
        <v>215</v>
      </c>
      <c r="Y42" t="s">
        <v>127</v>
      </c>
      <c r="Z42" t="s">
        <v>134</v>
      </c>
    </row>
    <row r="43" spans="1:26" ht="15" customHeight="1">
      <c r="A43" s="9">
        <v>39</v>
      </c>
      <c r="B43" s="9" t="s">
        <v>216</v>
      </c>
      <c r="C43" s="9" t="s">
        <v>40</v>
      </c>
      <c r="D43" s="9" t="s">
        <v>213</v>
      </c>
      <c r="E43" s="9">
        <v>8</v>
      </c>
      <c r="F43" s="9">
        <v>16</v>
      </c>
      <c r="G43" s="9">
        <v>127</v>
      </c>
      <c r="H43" s="9">
        <v>128</v>
      </c>
      <c r="I43" s="9">
        <f t="shared" si="3"/>
        <v>255</v>
      </c>
      <c r="J43" s="9" t="s">
        <v>131</v>
      </c>
      <c r="K43" s="9" t="s">
        <v>214</v>
      </c>
      <c r="L43" s="9" t="s">
        <v>136</v>
      </c>
      <c r="M43" s="9">
        <f>IF(L43="3-Yr No Upfront",'Pricing Inputs'!$B$29,'Pricing Inputs'!$B$30)</f>
        <v>260</v>
      </c>
      <c r="N43" s="10">
        <f>IF(U43="m7a.2xlarge",IF(L43="3-Yr No Upfront",'Pricing Inputs'!$E$18,'Pricing Inputs'!$D$18),IFERROR(INDEX('Pricing Inputs'!$D$6:$G$14,MATCH(U43,'Pricing Inputs'!$A$6:$A$14,0),IF(L43="3-Yr No Upfront",IF(J43="Windows",4,3),IF(J43="Windows",2,1))),"CHECK"))</f>
        <v>0.71719999999999995</v>
      </c>
      <c r="O43" s="11">
        <f t="shared" si="4"/>
        <v>186.47199999999998</v>
      </c>
      <c r="P43" s="11">
        <f>I43*'Pricing Inputs'!$B$22</f>
        <v>24.276000000000003</v>
      </c>
      <c r="Q43" s="11">
        <f>I43*'Pricing Inputs'!$B$24*IF(OR(C43="Prod",C43="Prod/UAT/Dev"),'Pricing Inputs'!$B$31,'Pricing Inputs'!$B$32)</f>
        <v>15.299999999999999</v>
      </c>
      <c r="R43" s="11">
        <f>IF(Y43="Yes",('Pricing Inputs'!$B$25*'Pricing Inputs'!$B$29)+(I43*'Pricing Inputs'!$B$26*'Pricing Inputs'!$B$23),0)</f>
        <v>0</v>
      </c>
      <c r="S43" s="11">
        <f t="shared" si="5"/>
        <v>226.048</v>
      </c>
      <c r="T43" s="9"/>
      <c r="U43" s="12" t="s">
        <v>214</v>
      </c>
      <c r="V43" s="12">
        <v>8</v>
      </c>
      <c r="W43" s="12">
        <v>16</v>
      </c>
      <c r="X43" t="s">
        <v>217</v>
      </c>
      <c r="Y43" t="s">
        <v>138</v>
      </c>
      <c r="Z43" t="s">
        <v>134</v>
      </c>
    </row>
    <row r="44" spans="1:26" ht="15" customHeight="1">
      <c r="A44" s="9">
        <v>40</v>
      </c>
      <c r="B44" s="9" t="s">
        <v>218</v>
      </c>
      <c r="C44" s="9" t="s">
        <v>121</v>
      </c>
      <c r="D44" s="9" t="s">
        <v>219</v>
      </c>
      <c r="E44" s="9">
        <v>2</v>
      </c>
      <c r="F44" s="9">
        <v>8</v>
      </c>
      <c r="G44" s="9">
        <v>127</v>
      </c>
      <c r="H44" s="9">
        <v>1024</v>
      </c>
      <c r="I44" s="9">
        <f t="shared" si="3"/>
        <v>1151</v>
      </c>
      <c r="J44" s="9" t="s">
        <v>131</v>
      </c>
      <c r="K44" s="9" t="s">
        <v>124</v>
      </c>
      <c r="L44" s="9" t="s">
        <v>125</v>
      </c>
      <c r="M44" s="9">
        <f>IF(L44="3-Yr No Upfront",'Pricing Inputs'!$B$29,'Pricing Inputs'!$B$30)</f>
        <v>730</v>
      </c>
      <c r="N44" s="10">
        <f>IF(U44="m7a.2xlarge",IF(L44="3-Yr No Upfront",'Pricing Inputs'!$E$18,'Pricing Inputs'!$D$18),IFERROR(INDEX('Pricing Inputs'!$D$6:$G$14,MATCH(U44,'Pricing Inputs'!$A$6:$A$14,0),IF(L44="3-Yr No Upfront",IF(J44="Windows",4,3),IF(J44="Windows",2,1))),"CHECK"))</f>
        <v>0.14582999999999999</v>
      </c>
      <c r="O44" s="11">
        <f t="shared" si="4"/>
        <v>106.45589999999999</v>
      </c>
      <c r="P44" s="11">
        <f>I44*'Pricing Inputs'!$B$22</f>
        <v>109.57520000000001</v>
      </c>
      <c r="Q44" s="11">
        <f>I44*'Pricing Inputs'!$B$24*IF(OR(C44="Prod",C44="Prod/UAT/Dev"),'Pricing Inputs'!$B$31,'Pricing Inputs'!$B$32)</f>
        <v>86.325000000000003</v>
      </c>
      <c r="R44" s="11">
        <f>IF(Y44="Yes",('Pricing Inputs'!$B$25*'Pricing Inputs'!$B$29)+(I44*'Pricing Inputs'!$B$26*'Pricing Inputs'!$B$23),0)</f>
        <v>40.697600000000001</v>
      </c>
      <c r="S44" s="11">
        <f t="shared" si="5"/>
        <v>343.05369999999999</v>
      </c>
      <c r="T44" s="9"/>
      <c r="U44" s="12" t="s">
        <v>124</v>
      </c>
      <c r="V44" s="12">
        <v>2</v>
      </c>
      <c r="W44" s="12">
        <v>8</v>
      </c>
      <c r="X44" t="s">
        <v>220</v>
      </c>
      <c r="Y44" t="s">
        <v>127</v>
      </c>
      <c r="Z44" t="s">
        <v>134</v>
      </c>
    </row>
    <row r="45" spans="1:26" ht="15" customHeight="1">
      <c r="A45" s="9">
        <v>41</v>
      </c>
      <c r="B45" s="9" t="s">
        <v>221</v>
      </c>
      <c r="C45" s="9" t="s">
        <v>40</v>
      </c>
      <c r="D45" s="9" t="s">
        <v>219</v>
      </c>
      <c r="E45" s="9">
        <v>2</v>
      </c>
      <c r="F45" s="9">
        <v>8</v>
      </c>
      <c r="G45" s="9">
        <v>127</v>
      </c>
      <c r="H45" s="9">
        <v>1024</v>
      </c>
      <c r="I45" s="9">
        <f t="shared" si="3"/>
        <v>1151</v>
      </c>
      <c r="J45" s="9" t="s">
        <v>131</v>
      </c>
      <c r="K45" s="9" t="s">
        <v>124</v>
      </c>
      <c r="L45" s="9" t="s">
        <v>136</v>
      </c>
      <c r="M45" s="9">
        <f>IF(L45="3-Yr No Upfront",'Pricing Inputs'!$B$29,'Pricing Inputs'!$B$30)</f>
        <v>260</v>
      </c>
      <c r="N45" s="10">
        <f>IF(U45="m7a.2xlarge",IF(L45="3-Yr No Upfront",'Pricing Inputs'!$E$18,'Pricing Inputs'!$D$18),IFERROR(INDEX('Pricing Inputs'!$D$6:$G$14,MATCH(U45,'Pricing Inputs'!$A$6:$A$14,0),IF(L45="3-Yr No Upfront",IF(J45="Windows",4,3),IF(J45="Windows",2,1))),"CHECK"))</f>
        <v>0.19550000000000001</v>
      </c>
      <c r="O45" s="11">
        <f t="shared" si="4"/>
        <v>50.83</v>
      </c>
      <c r="P45" s="11">
        <f>I45*'Pricing Inputs'!$B$22</f>
        <v>109.57520000000001</v>
      </c>
      <c r="Q45" s="11">
        <f>I45*'Pricing Inputs'!$B$24*IF(OR(C45="Prod",C45="Prod/UAT/Dev"),'Pricing Inputs'!$B$31,'Pricing Inputs'!$B$32)</f>
        <v>69.06</v>
      </c>
      <c r="R45" s="11">
        <f>IF(Y45="Yes",('Pricing Inputs'!$B$25*'Pricing Inputs'!$B$29)+(I45*'Pricing Inputs'!$B$26*'Pricing Inputs'!$B$23),0)</f>
        <v>0</v>
      </c>
      <c r="S45" s="11">
        <f t="shared" si="5"/>
        <v>229.46520000000001</v>
      </c>
      <c r="T45" s="9"/>
      <c r="U45" s="12" t="s">
        <v>124</v>
      </c>
      <c r="V45" s="12">
        <v>2</v>
      </c>
      <c r="W45" s="12">
        <v>8</v>
      </c>
      <c r="X45" t="s">
        <v>222</v>
      </c>
      <c r="Y45" t="s">
        <v>138</v>
      </c>
      <c r="Z45" t="s">
        <v>134</v>
      </c>
    </row>
    <row r="46" spans="1:26" ht="15" customHeight="1">
      <c r="A46" s="9">
        <v>42</v>
      </c>
      <c r="B46" s="9" t="s">
        <v>223</v>
      </c>
      <c r="C46" s="9" t="s">
        <v>121</v>
      </c>
      <c r="D46" s="9" t="s">
        <v>219</v>
      </c>
      <c r="E46" s="9">
        <v>2</v>
      </c>
      <c r="F46" s="9">
        <v>8</v>
      </c>
      <c r="G46" s="9">
        <v>127</v>
      </c>
      <c r="H46" s="9">
        <v>128</v>
      </c>
      <c r="I46" s="9">
        <f t="shared" si="3"/>
        <v>255</v>
      </c>
      <c r="J46" s="9" t="s">
        <v>131</v>
      </c>
      <c r="K46" s="9" t="s">
        <v>124</v>
      </c>
      <c r="L46" s="9" t="s">
        <v>125</v>
      </c>
      <c r="M46" s="9">
        <f>IF(L46="3-Yr No Upfront",'Pricing Inputs'!$B$29,'Pricing Inputs'!$B$30)</f>
        <v>730</v>
      </c>
      <c r="N46" s="10">
        <f>IF(U46="m7a.2xlarge",IF(L46="3-Yr No Upfront",'Pricing Inputs'!$E$18,'Pricing Inputs'!$D$18),IFERROR(INDEX('Pricing Inputs'!$D$6:$G$14,MATCH(U46,'Pricing Inputs'!$A$6:$A$14,0),IF(L46="3-Yr No Upfront",IF(J46="Windows",4,3),IF(J46="Windows",2,1))),"CHECK"))</f>
        <v>0.14582999999999999</v>
      </c>
      <c r="O46" s="11">
        <f t="shared" si="4"/>
        <v>106.45589999999999</v>
      </c>
      <c r="P46" s="11">
        <f>I46*'Pricing Inputs'!$B$22</f>
        <v>24.276000000000003</v>
      </c>
      <c r="Q46" s="11">
        <f>I46*'Pricing Inputs'!$B$24*IF(OR(C46="Prod",C46="Prod/UAT/Dev"),'Pricing Inputs'!$B$31,'Pricing Inputs'!$B$32)</f>
        <v>19.125</v>
      </c>
      <c r="R46" s="11">
        <f>IF(Y46="Yes",('Pricing Inputs'!$B$25*'Pricing Inputs'!$B$29)+(I46*'Pricing Inputs'!$B$26*'Pricing Inputs'!$B$23),0)</f>
        <v>24.928000000000001</v>
      </c>
      <c r="S46" s="11">
        <f t="shared" si="5"/>
        <v>174.78489999999999</v>
      </c>
      <c r="T46" s="9"/>
      <c r="U46" s="12" t="s">
        <v>124</v>
      </c>
      <c r="V46" s="12">
        <v>2</v>
      </c>
      <c r="W46" s="12">
        <v>8</v>
      </c>
      <c r="X46" t="s">
        <v>224</v>
      </c>
      <c r="Y46" t="s">
        <v>127</v>
      </c>
      <c r="Z46" t="s">
        <v>134</v>
      </c>
    </row>
    <row r="47" spans="1:26" ht="15" customHeight="1">
      <c r="A47" s="9">
        <v>43</v>
      </c>
      <c r="B47" s="9" t="s">
        <v>225</v>
      </c>
      <c r="C47" s="9" t="s">
        <v>121</v>
      </c>
      <c r="D47" s="9" t="s">
        <v>226</v>
      </c>
      <c r="E47" s="9">
        <v>8</v>
      </c>
      <c r="F47" s="9">
        <v>64</v>
      </c>
      <c r="G47" s="9">
        <v>127</v>
      </c>
      <c r="H47" s="9">
        <v>2304</v>
      </c>
      <c r="I47" s="9">
        <f t="shared" si="3"/>
        <v>2431</v>
      </c>
      <c r="J47" s="9" t="s">
        <v>131</v>
      </c>
      <c r="K47" s="9" t="s">
        <v>227</v>
      </c>
      <c r="L47" s="9" t="s">
        <v>125</v>
      </c>
      <c r="M47" s="9">
        <f>IF(L47="3-Yr No Upfront",'Pricing Inputs'!$B$29,'Pricing Inputs'!$B$30)</f>
        <v>730</v>
      </c>
      <c r="N47" s="10">
        <f>IF(U47="m7a.2xlarge",IF(L47="3-Yr No Upfront",'Pricing Inputs'!$E$18,'Pricing Inputs'!$D$18),IFERROR(INDEX('Pricing Inputs'!$D$6:$G$14,MATCH(U47,'Pricing Inputs'!$A$6:$A$14,0),IF(L47="3-Yr No Upfront",IF(J47="Windows",4,3),IF(J47="Windows",2,1))),"CHECK"))</f>
        <v>0.65344000000000002</v>
      </c>
      <c r="O47" s="11">
        <f t="shared" si="4"/>
        <v>477.01120000000003</v>
      </c>
      <c r="P47" s="11">
        <f>I47*'Pricing Inputs'!$B$22</f>
        <v>231.43120000000002</v>
      </c>
      <c r="Q47" s="11">
        <f>I47*'Pricing Inputs'!$B$24*IF(OR(C47="Prod",C47="Prod/UAT/Dev"),'Pricing Inputs'!$B$31,'Pricing Inputs'!$B$32)</f>
        <v>182.32500000000002</v>
      </c>
      <c r="R47" s="11">
        <f>IF(Y47="Yes",('Pricing Inputs'!$B$25*'Pricing Inputs'!$B$29)+(I47*'Pricing Inputs'!$B$26*'Pricing Inputs'!$B$23),0)</f>
        <v>63.2256</v>
      </c>
      <c r="S47" s="11">
        <f t="shared" si="5"/>
        <v>953.99300000000005</v>
      </c>
      <c r="T47" s="9"/>
      <c r="U47" s="12" t="s">
        <v>227</v>
      </c>
      <c r="V47" s="12">
        <v>8</v>
      </c>
      <c r="W47" s="12">
        <v>64</v>
      </c>
      <c r="X47" t="s">
        <v>228</v>
      </c>
      <c r="Y47" t="s">
        <v>127</v>
      </c>
      <c r="Z47" t="s">
        <v>134</v>
      </c>
    </row>
    <row r="48" spans="1:26" ht="15" customHeight="1">
      <c r="A48" s="9">
        <v>44</v>
      </c>
      <c r="B48" s="9" t="s">
        <v>229</v>
      </c>
      <c r="C48" s="9" t="s">
        <v>40</v>
      </c>
      <c r="D48" s="9" t="s">
        <v>230</v>
      </c>
      <c r="E48" s="9">
        <v>4</v>
      </c>
      <c r="F48" s="9">
        <v>32</v>
      </c>
      <c r="G48" s="9">
        <v>127</v>
      </c>
      <c r="H48" s="9">
        <v>1024</v>
      </c>
      <c r="I48" s="9">
        <f t="shared" si="3"/>
        <v>1151</v>
      </c>
      <c r="J48" s="9" t="s">
        <v>131</v>
      </c>
      <c r="K48" s="9" t="s">
        <v>231</v>
      </c>
      <c r="L48" s="9" t="s">
        <v>136</v>
      </c>
      <c r="M48" s="9">
        <f>IF(L48="3-Yr No Upfront",'Pricing Inputs'!$B$29,'Pricing Inputs'!$B$30)</f>
        <v>260</v>
      </c>
      <c r="N48" s="10">
        <f>IF(U48="m7a.2xlarge",IF(L48="3-Yr No Upfront",'Pricing Inputs'!$E$18,'Pricing Inputs'!$D$18),IFERROR(INDEX('Pricing Inputs'!$D$6:$G$14,MATCH(U48,'Pricing Inputs'!$A$6:$A$14,0),IF(L48="3-Yr No Upfront",IF(J48="Windows",4,3),IF(J48="Windows",2,1))),"CHECK"))</f>
        <v>0.45760000000000001</v>
      </c>
      <c r="O48" s="11">
        <f t="shared" si="4"/>
        <v>118.976</v>
      </c>
      <c r="P48" s="11">
        <f>I48*'Pricing Inputs'!$B$22</f>
        <v>109.57520000000001</v>
      </c>
      <c r="Q48" s="11">
        <f>I48*'Pricing Inputs'!$B$24*IF(OR(C48="Prod",C48="Prod/UAT/Dev"),'Pricing Inputs'!$B$31,'Pricing Inputs'!$B$32)</f>
        <v>69.06</v>
      </c>
      <c r="R48" s="11">
        <f>IF(Y48="Yes",('Pricing Inputs'!$B$25*'Pricing Inputs'!$B$29)+(I48*'Pricing Inputs'!$B$26*'Pricing Inputs'!$B$23),0)</f>
        <v>0</v>
      </c>
      <c r="S48" s="11">
        <f t="shared" si="5"/>
        <v>297.6112</v>
      </c>
      <c r="T48" s="9"/>
      <c r="U48" s="12" t="s">
        <v>231</v>
      </c>
      <c r="V48" s="12">
        <v>4</v>
      </c>
      <c r="W48" s="12">
        <v>32</v>
      </c>
      <c r="X48" t="s">
        <v>232</v>
      </c>
      <c r="Y48" t="s">
        <v>138</v>
      </c>
      <c r="Z48" t="s">
        <v>134</v>
      </c>
    </row>
    <row r="49" spans="1:26" ht="15" customHeight="1">
      <c r="A49" s="9">
        <v>45</v>
      </c>
      <c r="B49" s="9" t="s">
        <v>233</v>
      </c>
      <c r="C49" s="9" t="s">
        <v>121</v>
      </c>
      <c r="D49" s="9" t="s">
        <v>130</v>
      </c>
      <c r="E49" s="9">
        <v>4</v>
      </c>
      <c r="F49" s="9">
        <v>16</v>
      </c>
      <c r="G49" s="9">
        <v>127</v>
      </c>
      <c r="H49" s="9">
        <v>512</v>
      </c>
      <c r="I49" s="9">
        <f t="shared" si="3"/>
        <v>639</v>
      </c>
      <c r="J49" s="9" t="s">
        <v>131</v>
      </c>
      <c r="K49" s="9" t="s">
        <v>132</v>
      </c>
      <c r="L49" s="9" t="s">
        <v>125</v>
      </c>
      <c r="M49" s="9">
        <f>IF(L49="3-Yr No Upfront",'Pricing Inputs'!$B$29,'Pricing Inputs'!$B$30)</f>
        <v>730</v>
      </c>
      <c r="N49" s="10">
        <f>IF(U49="m7a.2xlarge",IF(L49="3-Yr No Upfront",'Pricing Inputs'!$E$18,'Pricing Inputs'!$D$18),IFERROR(INDEX('Pricing Inputs'!$D$6:$G$14,MATCH(U49,'Pricing Inputs'!$A$6:$A$14,0),IF(L49="3-Yr No Upfront",IF(J49="Windows",4,3),IF(J49="Windows",2,1))),"CHECK"))</f>
        <v>0.16336000000000001</v>
      </c>
      <c r="O49" s="11">
        <f t="shared" si="4"/>
        <v>119.25280000000001</v>
      </c>
      <c r="P49" s="11">
        <f>I49*'Pricing Inputs'!$B$22</f>
        <v>60.832800000000006</v>
      </c>
      <c r="Q49" s="11">
        <f>I49*'Pricing Inputs'!$B$24*IF(OR(C49="Prod",C49="Prod/UAT/Dev"),'Pricing Inputs'!$B$31,'Pricing Inputs'!$B$32)</f>
        <v>47.925000000000004</v>
      </c>
      <c r="R49" s="11">
        <f>IF(Y49="Yes",('Pricing Inputs'!$B$25*'Pricing Inputs'!$B$29)+(I49*'Pricing Inputs'!$B$26*'Pricing Inputs'!$B$23),0)</f>
        <v>31.686399999999999</v>
      </c>
      <c r="S49" s="11">
        <f t="shared" si="5"/>
        <v>259.697</v>
      </c>
      <c r="T49" s="9"/>
      <c r="U49" s="13" t="s">
        <v>146</v>
      </c>
      <c r="V49" s="13">
        <v>2</v>
      </c>
      <c r="W49" s="13">
        <v>16</v>
      </c>
      <c r="X49" t="s">
        <v>234</v>
      </c>
      <c r="Y49" t="s">
        <v>127</v>
      </c>
      <c r="Z49" t="s">
        <v>134</v>
      </c>
    </row>
    <row r="50" spans="1:26" ht="15" customHeight="1">
      <c r="A50" s="9">
        <v>46</v>
      </c>
      <c r="B50" s="9" t="s">
        <v>235</v>
      </c>
      <c r="C50" s="9" t="s">
        <v>40</v>
      </c>
      <c r="D50" s="9" t="s">
        <v>130</v>
      </c>
      <c r="E50" s="9">
        <v>4</v>
      </c>
      <c r="F50" s="9">
        <v>16</v>
      </c>
      <c r="G50" s="9">
        <v>127</v>
      </c>
      <c r="H50" s="9">
        <v>512</v>
      </c>
      <c r="I50" s="9">
        <f t="shared" si="3"/>
        <v>639</v>
      </c>
      <c r="J50" s="9" t="s">
        <v>131</v>
      </c>
      <c r="K50" s="9" t="s">
        <v>132</v>
      </c>
      <c r="L50" s="9" t="s">
        <v>136</v>
      </c>
      <c r="M50" s="9">
        <f>IF(L50="3-Yr No Upfront",'Pricing Inputs'!$B$29,'Pricing Inputs'!$B$30)</f>
        <v>260</v>
      </c>
      <c r="N50" s="10">
        <f>IF(U50="m7a.2xlarge",IF(L50="3-Yr No Upfront",'Pricing Inputs'!$E$18,'Pricing Inputs'!$D$18),IFERROR(INDEX('Pricing Inputs'!$D$6:$G$14,MATCH(U50,'Pricing Inputs'!$A$6:$A$14,0),IF(L50="3-Yr No Upfront",IF(J50="Windows",4,3),IF(J50="Windows",2,1))),"CHECK"))</f>
        <v>0.2288</v>
      </c>
      <c r="O50" s="11">
        <f t="shared" si="4"/>
        <v>59.488</v>
      </c>
      <c r="P50" s="11">
        <f>I50*'Pricing Inputs'!$B$22</f>
        <v>60.832800000000006</v>
      </c>
      <c r="Q50" s="11">
        <f>I50*'Pricing Inputs'!$B$24*IF(OR(C50="Prod",C50="Prod/UAT/Dev"),'Pricing Inputs'!$B$31,'Pricing Inputs'!$B$32)</f>
        <v>38.340000000000003</v>
      </c>
      <c r="R50" s="11">
        <f>IF(Y50="Yes",('Pricing Inputs'!$B$25*'Pricing Inputs'!$B$29)+(I50*'Pricing Inputs'!$B$26*'Pricing Inputs'!$B$23),0)</f>
        <v>0</v>
      </c>
      <c r="S50" s="11">
        <f t="shared" si="5"/>
        <v>158.66079999999999</v>
      </c>
      <c r="T50" s="9"/>
      <c r="U50" s="13" t="s">
        <v>146</v>
      </c>
      <c r="V50" s="13">
        <v>2</v>
      </c>
      <c r="W50" s="13">
        <v>16</v>
      </c>
      <c r="X50" t="s">
        <v>236</v>
      </c>
      <c r="Y50" t="s">
        <v>138</v>
      </c>
      <c r="Z50" t="s">
        <v>134</v>
      </c>
    </row>
    <row r="51" spans="1:26" ht="15" customHeight="1">
      <c r="A51" s="9">
        <v>47</v>
      </c>
      <c r="B51" s="9" t="s">
        <v>237</v>
      </c>
      <c r="C51" s="9" t="s">
        <v>121</v>
      </c>
      <c r="D51" s="9" t="s">
        <v>184</v>
      </c>
      <c r="E51" s="9">
        <v>2</v>
      </c>
      <c r="F51" s="9">
        <v>8</v>
      </c>
      <c r="G51" s="9">
        <v>128</v>
      </c>
      <c r="H51" s="9">
        <v>0</v>
      </c>
      <c r="I51" s="9">
        <f t="shared" si="3"/>
        <v>128</v>
      </c>
      <c r="J51" s="9" t="s">
        <v>131</v>
      </c>
      <c r="K51" s="9" t="s">
        <v>124</v>
      </c>
      <c r="L51" s="9" t="s">
        <v>125</v>
      </c>
      <c r="M51" s="9">
        <f>IF(L51="3-Yr No Upfront",'Pricing Inputs'!$B$29,'Pricing Inputs'!$B$30)</f>
        <v>730</v>
      </c>
      <c r="N51" s="10">
        <f>IF(U51="m7a.2xlarge",IF(L51="3-Yr No Upfront",'Pricing Inputs'!$E$18,'Pricing Inputs'!$D$18),IFERROR(INDEX('Pricing Inputs'!$D$6:$G$14,MATCH(U51,'Pricing Inputs'!$A$6:$A$14,0),IF(L51="3-Yr No Upfront",IF(J51="Windows",4,3),IF(J51="Windows",2,1))),"CHECK"))</f>
        <v>0.14582999999999999</v>
      </c>
      <c r="O51" s="11">
        <f t="shared" si="4"/>
        <v>106.45589999999999</v>
      </c>
      <c r="P51" s="11">
        <f>I51*'Pricing Inputs'!$B$22</f>
        <v>12.185600000000001</v>
      </c>
      <c r="Q51" s="11">
        <f>I51*'Pricing Inputs'!$B$24*IF(OR(C51="Prod",C51="Prod/UAT/Dev"),'Pricing Inputs'!$B$31,'Pricing Inputs'!$B$32)</f>
        <v>9.6000000000000014</v>
      </c>
      <c r="R51" s="11">
        <f>IF(Y51="Yes",('Pricing Inputs'!$B$25*'Pricing Inputs'!$B$29)+(I51*'Pricing Inputs'!$B$26*'Pricing Inputs'!$B$23),0)</f>
        <v>22.692800000000002</v>
      </c>
      <c r="S51" s="11">
        <f t="shared" si="5"/>
        <v>150.93429999999998</v>
      </c>
      <c r="T51" s="9"/>
      <c r="U51" s="12" t="s">
        <v>124</v>
      </c>
      <c r="V51" s="12">
        <v>2</v>
      </c>
      <c r="W51" s="12">
        <v>8</v>
      </c>
      <c r="X51" t="s">
        <v>238</v>
      </c>
      <c r="Y51" t="s">
        <v>127</v>
      </c>
      <c r="Z51" t="s">
        <v>134</v>
      </c>
    </row>
    <row r="52" spans="1:26" ht="15" customHeight="1">
      <c r="A52" s="9">
        <v>48</v>
      </c>
      <c r="B52" s="9" t="s">
        <v>239</v>
      </c>
      <c r="C52" s="9" t="s">
        <v>121</v>
      </c>
      <c r="D52" s="9" t="s">
        <v>184</v>
      </c>
      <c r="E52" s="9">
        <v>2</v>
      </c>
      <c r="F52" s="9">
        <v>8</v>
      </c>
      <c r="G52" s="9">
        <v>127</v>
      </c>
      <c r="H52" s="9">
        <v>0</v>
      </c>
      <c r="I52" s="9">
        <f t="shared" si="3"/>
        <v>127</v>
      </c>
      <c r="J52" s="9" t="s">
        <v>131</v>
      </c>
      <c r="K52" s="9" t="s">
        <v>124</v>
      </c>
      <c r="L52" s="9" t="s">
        <v>125</v>
      </c>
      <c r="M52" s="9">
        <f>IF(L52="3-Yr No Upfront",'Pricing Inputs'!$B$29,'Pricing Inputs'!$B$30)</f>
        <v>730</v>
      </c>
      <c r="N52" s="10">
        <f>IF(U52="m7a.2xlarge",IF(L52="3-Yr No Upfront",'Pricing Inputs'!$E$18,'Pricing Inputs'!$D$18),IFERROR(INDEX('Pricing Inputs'!$D$6:$G$14,MATCH(U52,'Pricing Inputs'!$A$6:$A$14,0),IF(L52="3-Yr No Upfront",IF(J52="Windows",4,3),IF(J52="Windows",2,1))),"CHECK"))</f>
        <v>0.14582999999999999</v>
      </c>
      <c r="O52" s="11">
        <f t="shared" si="4"/>
        <v>106.45589999999999</v>
      </c>
      <c r="P52" s="11">
        <f>I52*'Pricing Inputs'!$B$22</f>
        <v>12.090400000000001</v>
      </c>
      <c r="Q52" s="11">
        <f>I52*'Pricing Inputs'!$B$24*IF(OR(C52="Prod",C52="Prod/UAT/Dev"),'Pricing Inputs'!$B$31,'Pricing Inputs'!$B$32)</f>
        <v>9.5250000000000004</v>
      </c>
      <c r="R52" s="11">
        <f>IF(Y52="Yes",('Pricing Inputs'!$B$25*'Pricing Inputs'!$B$29)+(I52*'Pricing Inputs'!$B$26*'Pricing Inputs'!$B$23),0)</f>
        <v>22.6752</v>
      </c>
      <c r="S52" s="11">
        <f t="shared" si="5"/>
        <v>150.74649999999997</v>
      </c>
      <c r="T52" s="9"/>
      <c r="U52" s="12" t="s">
        <v>124</v>
      </c>
      <c r="V52" s="12">
        <v>2</v>
      </c>
      <c r="W52" s="12">
        <v>8</v>
      </c>
      <c r="X52" t="s">
        <v>240</v>
      </c>
      <c r="Y52" t="s">
        <v>127</v>
      </c>
      <c r="Z52" t="s">
        <v>134</v>
      </c>
    </row>
    <row r="53" spans="1:26" ht="15" customHeight="1">
      <c r="A53" s="9">
        <v>49</v>
      </c>
      <c r="B53" s="9" t="s">
        <v>241</v>
      </c>
      <c r="C53" s="9" t="s">
        <v>121</v>
      </c>
      <c r="D53" s="9" t="s">
        <v>130</v>
      </c>
      <c r="E53" s="9">
        <v>4</v>
      </c>
      <c r="F53" s="9">
        <v>16</v>
      </c>
      <c r="G53" s="9">
        <v>127</v>
      </c>
      <c r="H53" s="9">
        <v>0</v>
      </c>
      <c r="I53" s="9">
        <f t="shared" si="3"/>
        <v>127</v>
      </c>
      <c r="J53" s="9" t="s">
        <v>131</v>
      </c>
      <c r="K53" s="9" t="s">
        <v>132</v>
      </c>
      <c r="L53" s="9" t="s">
        <v>125</v>
      </c>
      <c r="M53" s="9">
        <f>IF(L53="3-Yr No Upfront",'Pricing Inputs'!$B$29,'Pricing Inputs'!$B$30)</f>
        <v>730</v>
      </c>
      <c r="N53" s="10">
        <f>IF(U53="m7a.2xlarge",IF(L53="3-Yr No Upfront",'Pricing Inputs'!$E$18,'Pricing Inputs'!$D$18),IFERROR(INDEX('Pricing Inputs'!$D$6:$G$14,MATCH(U53,'Pricing Inputs'!$A$6:$A$14,0),IF(L53="3-Yr No Upfront",IF(J53="Windows",4,3),IF(J53="Windows",2,1))),"CHECK"))</f>
        <v>0.14582999999999999</v>
      </c>
      <c r="O53" s="11">
        <f t="shared" si="4"/>
        <v>106.45589999999999</v>
      </c>
      <c r="P53" s="11">
        <f>I53*'Pricing Inputs'!$B$22</f>
        <v>12.090400000000001</v>
      </c>
      <c r="Q53" s="11">
        <f>I53*'Pricing Inputs'!$B$24*IF(OR(C53="Prod",C53="Prod/UAT/Dev"),'Pricing Inputs'!$B$31,'Pricing Inputs'!$B$32)</f>
        <v>9.5250000000000004</v>
      </c>
      <c r="R53" s="11">
        <f>IF(Y53="Yes",('Pricing Inputs'!$B$25*'Pricing Inputs'!$B$29)+(I53*'Pricing Inputs'!$B$26*'Pricing Inputs'!$B$23),0)</f>
        <v>22.6752</v>
      </c>
      <c r="S53" s="11">
        <f t="shared" si="5"/>
        <v>150.74649999999997</v>
      </c>
      <c r="T53" s="9"/>
      <c r="U53" s="13" t="s">
        <v>124</v>
      </c>
      <c r="V53" s="13">
        <v>2</v>
      </c>
      <c r="W53" s="13">
        <v>8</v>
      </c>
      <c r="X53" t="s">
        <v>242</v>
      </c>
      <c r="Y53" t="s">
        <v>127</v>
      </c>
      <c r="Z53" t="s">
        <v>134</v>
      </c>
    </row>
    <row r="54" spans="1:26" ht="15" customHeight="1">
      <c r="A54" s="9">
        <v>50</v>
      </c>
      <c r="B54" s="9" t="s">
        <v>243</v>
      </c>
      <c r="C54" s="9" t="s">
        <v>121</v>
      </c>
      <c r="D54" s="9" t="s">
        <v>244</v>
      </c>
      <c r="E54" s="9">
        <v>2</v>
      </c>
      <c r="F54" s="9">
        <v>7.72</v>
      </c>
      <c r="G54" s="9">
        <v>128</v>
      </c>
      <c r="H54" s="9">
        <v>0</v>
      </c>
      <c r="I54" s="9">
        <f t="shared" si="3"/>
        <v>128</v>
      </c>
      <c r="J54" s="9" t="s">
        <v>123</v>
      </c>
      <c r="K54" s="9" t="s">
        <v>124</v>
      </c>
      <c r="L54" s="9" t="s">
        <v>125</v>
      </c>
      <c r="M54" s="9">
        <f>IF(L54="3-Yr No Upfront",'Pricing Inputs'!$B$29,'Pricing Inputs'!$B$30)</f>
        <v>730</v>
      </c>
      <c r="N54" s="10">
        <f>IF(U54="m7a.2xlarge",IF(L54="3-Yr No Upfront",'Pricing Inputs'!$E$18,'Pricing Inputs'!$D$18),IFERROR(INDEX('Pricing Inputs'!$D$6:$G$14,MATCH(U54,'Pricing Inputs'!$A$6:$A$14,0),IF(L54="3-Yr No Upfront",IF(J54="Windows",4,3),IF(J54="Windows",2,1))),"CHECK"))</f>
        <v>5.3830000000000003E-2</v>
      </c>
      <c r="O54" s="11">
        <f t="shared" si="4"/>
        <v>39.295900000000003</v>
      </c>
      <c r="P54" s="11">
        <f>I54*'Pricing Inputs'!$B$22</f>
        <v>12.185600000000001</v>
      </c>
      <c r="Q54" s="11">
        <f>I54*'Pricing Inputs'!$B$24*IF(OR(C54="Prod",C54="Prod/UAT/Dev"),'Pricing Inputs'!$B$31,'Pricing Inputs'!$B$32)</f>
        <v>9.6000000000000014</v>
      </c>
      <c r="R54" s="11">
        <f>IF(Y54="Yes",('Pricing Inputs'!$B$25*'Pricing Inputs'!$B$29)+(I54*'Pricing Inputs'!$B$26*'Pricing Inputs'!$B$23),0)</f>
        <v>22.692800000000002</v>
      </c>
      <c r="S54" s="11">
        <f t="shared" si="5"/>
        <v>83.774300000000011</v>
      </c>
      <c r="T54" s="9"/>
      <c r="U54" s="12" t="s">
        <v>124</v>
      </c>
      <c r="V54" s="12">
        <v>2</v>
      </c>
      <c r="W54" s="12">
        <v>7.72</v>
      </c>
      <c r="X54" t="s">
        <v>245</v>
      </c>
      <c r="Y54" t="s">
        <v>127</v>
      </c>
      <c r="Z54" t="s">
        <v>134</v>
      </c>
    </row>
    <row r="55" spans="1:26" ht="15" customHeight="1">
      <c r="A55" s="9">
        <v>51</v>
      </c>
      <c r="B55" s="9" t="s">
        <v>246</v>
      </c>
      <c r="C55" s="9" t="s">
        <v>40</v>
      </c>
      <c r="D55" s="9" t="s">
        <v>244</v>
      </c>
      <c r="E55" s="9">
        <v>2</v>
      </c>
      <c r="F55" s="9">
        <v>8</v>
      </c>
      <c r="G55" s="9">
        <v>128</v>
      </c>
      <c r="H55" s="9">
        <v>0</v>
      </c>
      <c r="I55" s="9">
        <f t="shared" si="3"/>
        <v>128</v>
      </c>
      <c r="J55" s="9" t="s">
        <v>123</v>
      </c>
      <c r="K55" s="9" t="s">
        <v>124</v>
      </c>
      <c r="L55" s="9" t="s">
        <v>136</v>
      </c>
      <c r="M55" s="9">
        <f>IF(L55="3-Yr No Upfront",'Pricing Inputs'!$B$29,'Pricing Inputs'!$B$30)</f>
        <v>260</v>
      </c>
      <c r="N55" s="10">
        <f>IF(U55="m7a.2xlarge",IF(L55="3-Yr No Upfront",'Pricing Inputs'!$E$18,'Pricing Inputs'!$D$18),IFERROR(INDEX('Pricing Inputs'!$D$6:$G$14,MATCH(U55,'Pricing Inputs'!$A$6:$A$14,0),IF(L55="3-Yr No Upfront",IF(J55="Windows",4,3),IF(J55="Windows",2,1))),"CHECK"))</f>
        <v>0.10349999999999999</v>
      </c>
      <c r="O55" s="11">
        <f t="shared" si="4"/>
        <v>26.91</v>
      </c>
      <c r="P55" s="11">
        <f>I55*'Pricing Inputs'!$B$22</f>
        <v>12.185600000000001</v>
      </c>
      <c r="Q55" s="11">
        <f>I55*'Pricing Inputs'!$B$24*IF(OR(C55="Prod",C55="Prod/UAT/Dev"),'Pricing Inputs'!$B$31,'Pricing Inputs'!$B$32)</f>
        <v>7.68</v>
      </c>
      <c r="R55" s="11">
        <f>IF(Y55="Yes",('Pricing Inputs'!$B$25*'Pricing Inputs'!$B$29)+(I55*'Pricing Inputs'!$B$26*'Pricing Inputs'!$B$23),0)</f>
        <v>0</v>
      </c>
      <c r="S55" s="11">
        <f t="shared" si="5"/>
        <v>46.775600000000004</v>
      </c>
      <c r="T55" s="9"/>
      <c r="U55" s="12" t="s">
        <v>124</v>
      </c>
      <c r="V55" s="12">
        <v>2</v>
      </c>
      <c r="W55" s="12">
        <v>8</v>
      </c>
      <c r="X55" t="s">
        <v>247</v>
      </c>
      <c r="Y55" t="s">
        <v>138</v>
      </c>
      <c r="Z55" t="s">
        <v>134</v>
      </c>
    </row>
    <row r="56" spans="1:26" ht="15" customHeight="1">
      <c r="A56" s="9">
        <v>52</v>
      </c>
      <c r="B56" s="9" t="s">
        <v>248</v>
      </c>
      <c r="C56" s="9" t="s">
        <v>121</v>
      </c>
      <c r="D56" s="9" t="s">
        <v>184</v>
      </c>
      <c r="E56" s="9">
        <v>2</v>
      </c>
      <c r="F56" s="9">
        <v>8</v>
      </c>
      <c r="G56" s="9">
        <v>127</v>
      </c>
      <c r="H56" s="9">
        <v>128</v>
      </c>
      <c r="I56" s="9">
        <f t="shared" si="3"/>
        <v>255</v>
      </c>
      <c r="J56" s="9" t="s">
        <v>131</v>
      </c>
      <c r="K56" s="9" t="s">
        <v>124</v>
      </c>
      <c r="L56" s="9" t="s">
        <v>125</v>
      </c>
      <c r="M56" s="9">
        <f>IF(L56="3-Yr No Upfront",'Pricing Inputs'!$B$29,'Pricing Inputs'!$B$30)</f>
        <v>730</v>
      </c>
      <c r="N56" s="10">
        <f>IF(U56="m7a.2xlarge",IF(L56="3-Yr No Upfront",'Pricing Inputs'!$E$18,'Pricing Inputs'!$D$18),IFERROR(INDEX('Pricing Inputs'!$D$6:$G$14,MATCH(U56,'Pricing Inputs'!$A$6:$A$14,0),IF(L56="3-Yr No Upfront",IF(J56="Windows",4,3),IF(J56="Windows",2,1))),"CHECK"))</f>
        <v>0.14582999999999999</v>
      </c>
      <c r="O56" s="11">
        <f t="shared" si="4"/>
        <v>106.45589999999999</v>
      </c>
      <c r="P56" s="11">
        <f>I56*'Pricing Inputs'!$B$22</f>
        <v>24.276000000000003</v>
      </c>
      <c r="Q56" s="11">
        <f>I56*'Pricing Inputs'!$B$24*IF(OR(C56="Prod",C56="Prod/UAT/Dev"),'Pricing Inputs'!$B$31,'Pricing Inputs'!$B$32)</f>
        <v>19.125</v>
      </c>
      <c r="R56" s="11">
        <f>IF(Y56="Yes",('Pricing Inputs'!$B$25*'Pricing Inputs'!$B$29)+(I56*'Pricing Inputs'!$B$26*'Pricing Inputs'!$B$23),0)</f>
        <v>24.928000000000001</v>
      </c>
      <c r="S56" s="11">
        <f t="shared" si="5"/>
        <v>174.78489999999999</v>
      </c>
      <c r="T56" s="9"/>
      <c r="U56" s="12" t="s">
        <v>124</v>
      </c>
      <c r="V56" s="12">
        <v>2</v>
      </c>
      <c r="W56" s="12">
        <v>8</v>
      </c>
      <c r="X56" t="s">
        <v>249</v>
      </c>
      <c r="Y56" t="s">
        <v>127</v>
      </c>
      <c r="Z56" t="s">
        <v>134</v>
      </c>
    </row>
    <row r="57" spans="1:26" ht="15" customHeight="1">
      <c r="A57" s="9">
        <v>53</v>
      </c>
      <c r="B57" s="9" t="s">
        <v>250</v>
      </c>
      <c r="C57" s="9" t="s">
        <v>121</v>
      </c>
      <c r="D57" s="9" t="s">
        <v>184</v>
      </c>
      <c r="E57" s="9">
        <v>2</v>
      </c>
      <c r="F57" s="9">
        <v>8</v>
      </c>
      <c r="G57" s="9">
        <v>127</v>
      </c>
      <c r="H57" s="9">
        <v>2112</v>
      </c>
      <c r="I57" s="9">
        <f t="shared" si="3"/>
        <v>2239</v>
      </c>
      <c r="J57" s="9" t="s">
        <v>131</v>
      </c>
      <c r="K57" s="9" t="s">
        <v>124</v>
      </c>
      <c r="L57" s="9" t="s">
        <v>125</v>
      </c>
      <c r="M57" s="9">
        <f>IF(L57="3-Yr No Upfront",'Pricing Inputs'!$B$29,'Pricing Inputs'!$B$30)</f>
        <v>730</v>
      </c>
      <c r="N57" s="10">
        <f>IF(U57="m7a.2xlarge",IF(L57="3-Yr No Upfront",'Pricing Inputs'!$E$18,'Pricing Inputs'!$D$18),IFERROR(INDEX('Pricing Inputs'!$D$6:$G$14,MATCH(U57,'Pricing Inputs'!$A$6:$A$14,0),IF(L57="3-Yr No Upfront",IF(J57="Windows",4,3),IF(J57="Windows",2,1))),"CHECK"))</f>
        <v>0.14582999999999999</v>
      </c>
      <c r="O57" s="11">
        <f t="shared" si="4"/>
        <v>106.45589999999999</v>
      </c>
      <c r="P57" s="11">
        <f>I57*'Pricing Inputs'!$B$22</f>
        <v>213.15280000000001</v>
      </c>
      <c r="Q57" s="11">
        <f>I57*'Pricing Inputs'!$B$24*IF(OR(C57="Prod",C57="Prod/UAT/Dev"),'Pricing Inputs'!$B$31,'Pricing Inputs'!$B$32)</f>
        <v>167.92500000000001</v>
      </c>
      <c r="R57" s="11">
        <f>IF(Y57="Yes",('Pricing Inputs'!$B$25*'Pricing Inputs'!$B$29)+(I57*'Pricing Inputs'!$B$26*'Pricing Inputs'!$B$23),0)</f>
        <v>59.846400000000003</v>
      </c>
      <c r="S57" s="11">
        <f t="shared" si="5"/>
        <v>547.38009999999997</v>
      </c>
      <c r="T57" s="9"/>
      <c r="U57" s="12" t="s">
        <v>124</v>
      </c>
      <c r="V57" s="12">
        <v>2</v>
      </c>
      <c r="W57" s="12">
        <v>8</v>
      </c>
      <c r="X57" t="s">
        <v>251</v>
      </c>
      <c r="Y57" t="s">
        <v>127</v>
      </c>
      <c r="Z57" t="s">
        <v>134</v>
      </c>
    </row>
    <row r="58" spans="1:26" ht="15" customHeight="1">
      <c r="A58" s="9">
        <v>54</v>
      </c>
      <c r="B58" s="9" t="s">
        <v>252</v>
      </c>
      <c r="C58" s="9" t="s">
        <v>40</v>
      </c>
      <c r="D58" s="9" t="s">
        <v>184</v>
      </c>
      <c r="E58" s="9">
        <v>2</v>
      </c>
      <c r="F58" s="9">
        <v>8</v>
      </c>
      <c r="G58" s="9">
        <v>127</v>
      </c>
      <c r="H58" s="9">
        <v>128</v>
      </c>
      <c r="I58" s="9">
        <f t="shared" si="3"/>
        <v>255</v>
      </c>
      <c r="J58" s="9" t="s">
        <v>131</v>
      </c>
      <c r="K58" s="9" t="s">
        <v>124</v>
      </c>
      <c r="L58" s="9" t="s">
        <v>136</v>
      </c>
      <c r="M58" s="9">
        <f>IF(L58="3-Yr No Upfront",'Pricing Inputs'!$B$29,'Pricing Inputs'!$B$30)</f>
        <v>260</v>
      </c>
      <c r="N58" s="10">
        <f>IF(U58="m7a.2xlarge",IF(L58="3-Yr No Upfront",'Pricing Inputs'!$E$18,'Pricing Inputs'!$D$18),IFERROR(INDEX('Pricing Inputs'!$D$6:$G$14,MATCH(U58,'Pricing Inputs'!$A$6:$A$14,0),IF(L58="3-Yr No Upfront",IF(J58="Windows",4,3),IF(J58="Windows",2,1))),"CHECK"))</f>
        <v>0.19550000000000001</v>
      </c>
      <c r="O58" s="11">
        <f t="shared" si="4"/>
        <v>50.83</v>
      </c>
      <c r="P58" s="11">
        <f>I58*'Pricing Inputs'!$B$22</f>
        <v>24.276000000000003</v>
      </c>
      <c r="Q58" s="11">
        <f>I58*'Pricing Inputs'!$B$24*IF(OR(C58="Prod",C58="Prod/UAT/Dev"),'Pricing Inputs'!$B$31,'Pricing Inputs'!$B$32)</f>
        <v>15.299999999999999</v>
      </c>
      <c r="R58" s="11">
        <f>IF(Y58="Yes",('Pricing Inputs'!$B$25*'Pricing Inputs'!$B$29)+(I58*'Pricing Inputs'!$B$26*'Pricing Inputs'!$B$23),0)</f>
        <v>0</v>
      </c>
      <c r="S58" s="11">
        <f t="shared" si="5"/>
        <v>90.405999999999992</v>
      </c>
      <c r="T58" s="9"/>
      <c r="U58" s="12" t="s">
        <v>124</v>
      </c>
      <c r="V58" s="12">
        <v>2</v>
      </c>
      <c r="W58" s="12">
        <v>8</v>
      </c>
      <c r="X58" t="s">
        <v>253</v>
      </c>
      <c r="Y58" t="s">
        <v>138</v>
      </c>
      <c r="Z58" t="s">
        <v>134</v>
      </c>
    </row>
    <row r="59" spans="1:26" ht="15" customHeight="1">
      <c r="A59" s="9">
        <v>55</v>
      </c>
      <c r="B59" s="9" t="s">
        <v>254</v>
      </c>
      <c r="C59" s="9" t="s">
        <v>121</v>
      </c>
      <c r="D59" s="9" t="s">
        <v>130</v>
      </c>
      <c r="E59" s="9">
        <v>4</v>
      </c>
      <c r="F59" s="9">
        <v>16</v>
      </c>
      <c r="G59" s="9">
        <v>127</v>
      </c>
      <c r="H59" s="9">
        <v>256</v>
      </c>
      <c r="I59" s="9">
        <f t="shared" si="3"/>
        <v>383</v>
      </c>
      <c r="J59" s="9" t="s">
        <v>131</v>
      </c>
      <c r="K59" s="9" t="s">
        <v>132</v>
      </c>
      <c r="L59" s="9" t="s">
        <v>125</v>
      </c>
      <c r="M59" s="9">
        <f>IF(L59="3-Yr No Upfront",'Pricing Inputs'!$B$29,'Pricing Inputs'!$B$30)</f>
        <v>730</v>
      </c>
      <c r="N59" s="10">
        <f>IF(U59="m7a.2xlarge",IF(L59="3-Yr No Upfront",'Pricing Inputs'!$E$18,'Pricing Inputs'!$D$18),IFERROR(INDEX('Pricing Inputs'!$D$6:$G$14,MATCH(U59,'Pricing Inputs'!$A$6:$A$14,0),IF(L59="3-Yr No Upfront",IF(J59="Windows",4,3),IF(J59="Windows",2,1))),"CHECK"))</f>
        <v>0.29166999999999998</v>
      </c>
      <c r="O59" s="11">
        <f t="shared" si="4"/>
        <v>212.91909999999999</v>
      </c>
      <c r="P59" s="11">
        <f>I59*'Pricing Inputs'!$B$22</f>
        <v>36.461600000000004</v>
      </c>
      <c r="Q59" s="11">
        <f>I59*'Pricing Inputs'!$B$24*IF(OR(C59="Prod",C59="Prod/UAT/Dev"),'Pricing Inputs'!$B$31,'Pricing Inputs'!$B$32)</f>
        <v>28.725000000000001</v>
      </c>
      <c r="R59" s="11">
        <f>IF(Y59="Yes",('Pricing Inputs'!$B$25*'Pricing Inputs'!$B$29)+(I59*'Pricing Inputs'!$B$26*'Pricing Inputs'!$B$23),0)</f>
        <v>27.180800000000001</v>
      </c>
      <c r="S59" s="11">
        <f t="shared" si="5"/>
        <v>305.28649999999999</v>
      </c>
      <c r="T59" s="9"/>
      <c r="U59" s="12" t="s">
        <v>132</v>
      </c>
      <c r="V59" s="12">
        <v>4</v>
      </c>
      <c r="W59" s="12">
        <v>16</v>
      </c>
      <c r="X59" t="s">
        <v>255</v>
      </c>
      <c r="Y59" t="s">
        <v>127</v>
      </c>
      <c r="Z59" t="s">
        <v>134</v>
      </c>
    </row>
    <row r="60" spans="1:26" ht="15" customHeight="1">
      <c r="A60" s="9">
        <v>56</v>
      </c>
      <c r="B60" s="9" t="s">
        <v>256</v>
      </c>
      <c r="C60" s="9" t="s">
        <v>121</v>
      </c>
      <c r="D60" s="9" t="s">
        <v>257</v>
      </c>
      <c r="E60" s="9">
        <v>4</v>
      </c>
      <c r="F60" s="9">
        <v>15.95</v>
      </c>
      <c r="G60" s="9">
        <v>128</v>
      </c>
      <c r="H60" s="9">
        <v>0</v>
      </c>
      <c r="I60" s="9">
        <f t="shared" si="3"/>
        <v>128</v>
      </c>
      <c r="J60" s="9" t="s">
        <v>131</v>
      </c>
      <c r="K60" s="9" t="s">
        <v>132</v>
      </c>
      <c r="L60" s="9" t="s">
        <v>125</v>
      </c>
      <c r="M60" s="9">
        <f>IF(L60="3-Yr No Upfront",'Pricing Inputs'!$B$29,'Pricing Inputs'!$B$30)</f>
        <v>730</v>
      </c>
      <c r="N60" s="10">
        <f>IF(U60="m7a.2xlarge",IF(L60="3-Yr No Upfront",'Pricing Inputs'!$E$18,'Pricing Inputs'!$D$18),IFERROR(INDEX('Pricing Inputs'!$D$6:$G$14,MATCH(U60,'Pricing Inputs'!$A$6:$A$14,0),IF(L60="3-Yr No Upfront",IF(J60="Windows",4,3),IF(J60="Windows",2,1))),"CHECK"))</f>
        <v>0.14582999999999999</v>
      </c>
      <c r="O60" s="11">
        <f t="shared" si="4"/>
        <v>106.45589999999999</v>
      </c>
      <c r="P60" s="11">
        <f>I60*'Pricing Inputs'!$B$22</f>
        <v>12.185600000000001</v>
      </c>
      <c r="Q60" s="11">
        <f>I60*'Pricing Inputs'!$B$24*IF(OR(C60="Prod",C60="Prod/UAT/Dev"),'Pricing Inputs'!$B$31,'Pricing Inputs'!$B$32)</f>
        <v>9.6000000000000014</v>
      </c>
      <c r="R60" s="11">
        <f>IF(Y60="Yes",('Pricing Inputs'!$B$25*'Pricing Inputs'!$B$29)+(I60*'Pricing Inputs'!$B$26*'Pricing Inputs'!$B$23),0)</f>
        <v>22.692800000000002</v>
      </c>
      <c r="S60" s="11">
        <f t="shared" si="5"/>
        <v>150.93429999999998</v>
      </c>
      <c r="T60" s="9"/>
      <c r="U60" s="13" t="s">
        <v>124</v>
      </c>
      <c r="V60" s="13">
        <v>2</v>
      </c>
      <c r="W60" s="13">
        <v>8</v>
      </c>
      <c r="X60" t="s">
        <v>258</v>
      </c>
      <c r="Y60" t="s">
        <v>127</v>
      </c>
      <c r="Z60" t="s">
        <v>128</v>
      </c>
    </row>
    <row r="61" spans="1:26" ht="15" customHeight="1">
      <c r="A61" s="9">
        <v>57</v>
      </c>
      <c r="B61" s="9" t="s">
        <v>259</v>
      </c>
      <c r="C61" s="9" t="s">
        <v>121</v>
      </c>
      <c r="D61" s="9" t="s">
        <v>184</v>
      </c>
      <c r="E61" s="9">
        <v>2</v>
      </c>
      <c r="F61" s="9">
        <v>8</v>
      </c>
      <c r="G61" s="9">
        <v>127</v>
      </c>
      <c r="H61" s="9">
        <v>0</v>
      </c>
      <c r="I61" s="9">
        <f t="shared" si="3"/>
        <v>127</v>
      </c>
      <c r="J61" s="9" t="s">
        <v>131</v>
      </c>
      <c r="K61" s="9" t="s">
        <v>124</v>
      </c>
      <c r="L61" s="9" t="s">
        <v>125</v>
      </c>
      <c r="M61" s="9">
        <f>IF(L61="3-Yr No Upfront",'Pricing Inputs'!$B$29,'Pricing Inputs'!$B$30)</f>
        <v>730</v>
      </c>
      <c r="N61" s="10">
        <f>IF(U61="m7a.2xlarge",IF(L61="3-Yr No Upfront",'Pricing Inputs'!$E$18,'Pricing Inputs'!$D$18),IFERROR(INDEX('Pricing Inputs'!$D$6:$G$14,MATCH(U61,'Pricing Inputs'!$A$6:$A$14,0),IF(L61="3-Yr No Upfront",IF(J61="Windows",4,3),IF(J61="Windows",2,1))),"CHECK"))</f>
        <v>0.14582999999999999</v>
      </c>
      <c r="O61" s="11">
        <f t="shared" si="4"/>
        <v>106.45589999999999</v>
      </c>
      <c r="P61" s="11">
        <f>I61*'Pricing Inputs'!$B$22</f>
        <v>12.090400000000001</v>
      </c>
      <c r="Q61" s="11">
        <f>I61*'Pricing Inputs'!$B$24*IF(OR(C61="Prod",C61="Prod/UAT/Dev"),'Pricing Inputs'!$B$31,'Pricing Inputs'!$B$32)</f>
        <v>9.5250000000000004</v>
      </c>
      <c r="R61" s="11">
        <f>IF(Y61="Yes",('Pricing Inputs'!$B$25*'Pricing Inputs'!$B$29)+(I61*'Pricing Inputs'!$B$26*'Pricing Inputs'!$B$23),0)</f>
        <v>22.6752</v>
      </c>
      <c r="S61" s="11">
        <f t="shared" si="5"/>
        <v>150.74649999999997</v>
      </c>
      <c r="T61" s="9"/>
      <c r="U61" s="12" t="s">
        <v>124</v>
      </c>
      <c r="V61" s="12">
        <v>2</v>
      </c>
      <c r="W61" s="12">
        <v>8</v>
      </c>
      <c r="X61" t="s">
        <v>260</v>
      </c>
      <c r="Y61" t="s">
        <v>127</v>
      </c>
      <c r="Z61" t="s">
        <v>134</v>
      </c>
    </row>
    <row r="62" spans="1:26" ht="15" customHeight="1">
      <c r="A62" s="9">
        <v>58</v>
      </c>
      <c r="B62" s="9" t="s">
        <v>261</v>
      </c>
      <c r="C62" s="9" t="s">
        <v>121</v>
      </c>
      <c r="D62" s="9" t="s">
        <v>244</v>
      </c>
      <c r="E62" s="9">
        <v>2</v>
      </c>
      <c r="F62" s="9">
        <v>7.95</v>
      </c>
      <c r="G62" s="9">
        <v>127</v>
      </c>
      <c r="H62" s="9">
        <v>0</v>
      </c>
      <c r="I62" s="9">
        <f t="shared" si="3"/>
        <v>127</v>
      </c>
      <c r="J62" s="9" t="s">
        <v>131</v>
      </c>
      <c r="K62" s="9" t="s">
        <v>124</v>
      </c>
      <c r="L62" s="9" t="s">
        <v>125</v>
      </c>
      <c r="M62" s="9">
        <f>IF(L62="3-Yr No Upfront",'Pricing Inputs'!$B$29,'Pricing Inputs'!$B$30)</f>
        <v>730</v>
      </c>
      <c r="N62" s="10">
        <f>IF(U62="m7a.2xlarge",IF(L62="3-Yr No Upfront",'Pricing Inputs'!$E$18,'Pricing Inputs'!$D$18),IFERROR(INDEX('Pricing Inputs'!$D$6:$G$14,MATCH(U62,'Pricing Inputs'!$A$6:$A$14,0),IF(L62="3-Yr No Upfront",IF(J62="Windows",4,3),IF(J62="Windows",2,1))),"CHECK"))</f>
        <v>0.14582999999999999</v>
      </c>
      <c r="O62" s="11">
        <f t="shared" si="4"/>
        <v>106.45589999999999</v>
      </c>
      <c r="P62" s="11">
        <f>I62*'Pricing Inputs'!$B$22</f>
        <v>12.090400000000001</v>
      </c>
      <c r="Q62" s="11">
        <f>I62*'Pricing Inputs'!$B$24*IF(OR(C62="Prod",C62="Prod/UAT/Dev"),'Pricing Inputs'!$B$31,'Pricing Inputs'!$B$32)</f>
        <v>9.5250000000000004</v>
      </c>
      <c r="R62" s="11">
        <f>IF(Y62="Yes",('Pricing Inputs'!$B$25*'Pricing Inputs'!$B$29)+(I62*'Pricing Inputs'!$B$26*'Pricing Inputs'!$B$23),0)</f>
        <v>22.6752</v>
      </c>
      <c r="S62" s="11">
        <f t="shared" si="5"/>
        <v>150.74649999999997</v>
      </c>
      <c r="T62" s="9"/>
      <c r="U62" s="12" t="s">
        <v>124</v>
      </c>
      <c r="V62" s="12">
        <v>2</v>
      </c>
      <c r="W62" s="12">
        <v>7.95</v>
      </c>
      <c r="X62" t="s">
        <v>262</v>
      </c>
      <c r="Y62" t="s">
        <v>127</v>
      </c>
      <c r="Z62" t="s">
        <v>134</v>
      </c>
    </row>
    <row r="63" spans="1:26" ht="15" customHeight="1">
      <c r="A63" s="9">
        <v>59</v>
      </c>
      <c r="B63" s="9" t="s">
        <v>263</v>
      </c>
      <c r="C63" s="9" t="s">
        <v>121</v>
      </c>
      <c r="D63" s="9" t="s">
        <v>130</v>
      </c>
      <c r="E63" s="9">
        <v>4</v>
      </c>
      <c r="F63" s="9">
        <v>16</v>
      </c>
      <c r="G63" s="9">
        <v>127</v>
      </c>
      <c r="H63" s="9">
        <v>0</v>
      </c>
      <c r="I63" s="9">
        <f t="shared" si="3"/>
        <v>127</v>
      </c>
      <c r="J63" s="9" t="s">
        <v>131</v>
      </c>
      <c r="K63" s="9" t="s">
        <v>132</v>
      </c>
      <c r="L63" s="9" t="s">
        <v>125</v>
      </c>
      <c r="M63" s="9">
        <f>IF(L63="3-Yr No Upfront",'Pricing Inputs'!$B$29,'Pricing Inputs'!$B$30)</f>
        <v>730</v>
      </c>
      <c r="N63" s="10">
        <f>IF(U63="m7a.2xlarge",IF(L63="3-Yr No Upfront",'Pricing Inputs'!$E$18,'Pricing Inputs'!$D$18),IFERROR(INDEX('Pricing Inputs'!$D$6:$G$14,MATCH(U63,'Pricing Inputs'!$A$6:$A$14,0),IF(L63="3-Yr No Upfront",IF(J63="Windows",4,3),IF(J63="Windows",2,1))),"CHECK"))</f>
        <v>0.16336000000000001</v>
      </c>
      <c r="O63" s="11">
        <f t="shared" si="4"/>
        <v>119.25280000000001</v>
      </c>
      <c r="P63" s="11">
        <f>I63*'Pricing Inputs'!$B$22</f>
        <v>12.090400000000001</v>
      </c>
      <c r="Q63" s="11">
        <f>I63*'Pricing Inputs'!$B$24*IF(OR(C63="Prod",C63="Prod/UAT/Dev"),'Pricing Inputs'!$B$31,'Pricing Inputs'!$B$32)</f>
        <v>9.5250000000000004</v>
      </c>
      <c r="R63" s="11">
        <f>IF(Y63="Yes",('Pricing Inputs'!$B$25*'Pricing Inputs'!$B$29)+(I63*'Pricing Inputs'!$B$26*'Pricing Inputs'!$B$23),0)</f>
        <v>22.6752</v>
      </c>
      <c r="S63" s="11">
        <f t="shared" si="5"/>
        <v>163.54339999999999</v>
      </c>
      <c r="T63" s="9"/>
      <c r="U63" s="13" t="s">
        <v>146</v>
      </c>
      <c r="V63" s="13">
        <v>2</v>
      </c>
      <c r="W63" s="13">
        <v>16</v>
      </c>
      <c r="X63" t="s">
        <v>264</v>
      </c>
      <c r="Y63" t="s">
        <v>127</v>
      </c>
      <c r="Z63" t="s">
        <v>134</v>
      </c>
    </row>
    <row r="64" spans="1:26" ht="15" customHeight="1">
      <c r="A64" s="9">
        <v>60</v>
      </c>
      <c r="B64" s="9" t="s">
        <v>265</v>
      </c>
      <c r="C64" s="9" t="s">
        <v>42</v>
      </c>
      <c r="D64" s="9" t="s">
        <v>130</v>
      </c>
      <c r="E64" s="9">
        <v>4</v>
      </c>
      <c r="F64" s="9">
        <v>16</v>
      </c>
      <c r="G64" s="9">
        <v>256</v>
      </c>
      <c r="H64" s="9">
        <v>0</v>
      </c>
      <c r="I64" s="9">
        <f t="shared" si="3"/>
        <v>256</v>
      </c>
      <c r="J64" s="9" t="s">
        <v>131</v>
      </c>
      <c r="K64" s="9" t="s">
        <v>132</v>
      </c>
      <c r="L64" s="9" t="s">
        <v>136</v>
      </c>
      <c r="M64" s="9">
        <f>IF(L64="3-Yr No Upfront",'Pricing Inputs'!$B$29,'Pricing Inputs'!$B$30)</f>
        <v>260</v>
      </c>
      <c r="N64" s="10">
        <f>IF(U64="m7a.2xlarge",IF(L64="3-Yr No Upfront",'Pricing Inputs'!$E$18,'Pricing Inputs'!$D$18),IFERROR(INDEX('Pricing Inputs'!$D$6:$G$14,MATCH(U64,'Pricing Inputs'!$A$6:$A$14,0),IF(L64="3-Yr No Upfront",IF(J64="Windows",4,3),IF(J64="Windows",2,1))),"CHECK"))</f>
        <v>0.39100000000000001</v>
      </c>
      <c r="O64" s="11">
        <f t="shared" si="4"/>
        <v>101.66</v>
      </c>
      <c r="P64" s="11">
        <f>I64*'Pricing Inputs'!$B$22</f>
        <v>24.371200000000002</v>
      </c>
      <c r="Q64" s="11">
        <f>I64*'Pricing Inputs'!$B$24*IF(OR(C64="Prod",C64="Prod/UAT/Dev"),'Pricing Inputs'!$B$31,'Pricing Inputs'!$B$32)</f>
        <v>15.36</v>
      </c>
      <c r="R64" s="11">
        <f>IF(Y64="Yes",('Pricing Inputs'!$B$25*'Pricing Inputs'!$B$29)+(I64*'Pricing Inputs'!$B$26*'Pricing Inputs'!$B$23),0)</f>
        <v>0</v>
      </c>
      <c r="S64" s="11">
        <f t="shared" si="5"/>
        <v>141.3912</v>
      </c>
      <c r="T64" s="9"/>
      <c r="U64" s="12" t="s">
        <v>132</v>
      </c>
      <c r="V64" s="12">
        <v>4</v>
      </c>
      <c r="W64" s="12">
        <v>16</v>
      </c>
      <c r="X64" t="s">
        <v>266</v>
      </c>
      <c r="Y64" t="s">
        <v>138</v>
      </c>
      <c r="Z64" t="s">
        <v>134</v>
      </c>
    </row>
    <row r="65" spans="1:26" ht="15" customHeight="1">
      <c r="A65" s="9">
        <v>61</v>
      </c>
      <c r="B65" s="9" t="s">
        <v>267</v>
      </c>
      <c r="C65" s="9" t="s">
        <v>142</v>
      </c>
      <c r="D65" s="9" t="s">
        <v>130</v>
      </c>
      <c r="E65" s="9">
        <v>4</v>
      </c>
      <c r="F65" s="9">
        <v>16</v>
      </c>
      <c r="G65" s="9">
        <v>127</v>
      </c>
      <c r="H65" s="9">
        <v>0</v>
      </c>
      <c r="I65" s="9">
        <f t="shared" si="3"/>
        <v>127</v>
      </c>
      <c r="J65" s="9" t="s">
        <v>131</v>
      </c>
      <c r="K65" s="9" t="s">
        <v>132</v>
      </c>
      <c r="L65" s="9" t="s">
        <v>125</v>
      </c>
      <c r="M65" s="9">
        <f>IF(L65="3-Yr No Upfront",'Pricing Inputs'!$B$29,'Pricing Inputs'!$B$30)</f>
        <v>730</v>
      </c>
      <c r="N65" s="10">
        <f>IF(U65="m7a.2xlarge",IF(L65="3-Yr No Upfront",'Pricing Inputs'!$E$18,'Pricing Inputs'!$D$18),IFERROR(INDEX('Pricing Inputs'!$D$6:$G$14,MATCH(U65,'Pricing Inputs'!$A$6:$A$14,0),IF(L65="3-Yr No Upfront",IF(J65="Windows",4,3),IF(J65="Windows",2,1))),"CHECK"))</f>
        <v>0.29166999999999998</v>
      </c>
      <c r="O65" s="11">
        <f t="shared" si="4"/>
        <v>212.91909999999999</v>
      </c>
      <c r="P65" s="11">
        <f>I65*'Pricing Inputs'!$B$22</f>
        <v>12.090400000000001</v>
      </c>
      <c r="Q65" s="11">
        <f>I65*'Pricing Inputs'!$B$24*IF(OR(C65="Prod",C65="Prod/UAT/Dev"),'Pricing Inputs'!$B$31,'Pricing Inputs'!$B$32)</f>
        <v>9.5250000000000004</v>
      </c>
      <c r="R65" s="11">
        <f>IF(Y65="Yes",('Pricing Inputs'!$B$25*'Pricing Inputs'!$B$29)+(I65*'Pricing Inputs'!$B$26*'Pricing Inputs'!$B$23),0)</f>
        <v>0</v>
      </c>
      <c r="S65" s="11">
        <f t="shared" si="5"/>
        <v>234.53449999999998</v>
      </c>
      <c r="T65" s="9"/>
      <c r="U65" s="12" t="s">
        <v>132</v>
      </c>
      <c r="V65" s="12">
        <v>4</v>
      </c>
      <c r="W65" s="12">
        <v>16</v>
      </c>
      <c r="X65" t="s">
        <v>268</v>
      </c>
      <c r="Y65" t="s">
        <v>138</v>
      </c>
      <c r="Z65" t="s">
        <v>134</v>
      </c>
    </row>
    <row r="66" spans="1:26" ht="15" customHeight="1">
      <c r="A66" s="9">
        <v>62</v>
      </c>
      <c r="B66" s="9" t="s">
        <v>269</v>
      </c>
      <c r="C66" s="9" t="s">
        <v>121</v>
      </c>
      <c r="D66" s="9" t="s">
        <v>130</v>
      </c>
      <c r="E66" s="9">
        <v>4</v>
      </c>
      <c r="F66" s="9">
        <v>16</v>
      </c>
      <c r="G66" s="9">
        <v>127</v>
      </c>
      <c r="H66" s="9">
        <v>0</v>
      </c>
      <c r="I66" s="9">
        <f t="shared" si="3"/>
        <v>127</v>
      </c>
      <c r="J66" s="9" t="s">
        <v>131</v>
      </c>
      <c r="K66" s="9" t="s">
        <v>132</v>
      </c>
      <c r="L66" s="9" t="s">
        <v>125</v>
      </c>
      <c r="M66" s="9">
        <f>IF(L66="3-Yr No Upfront",'Pricing Inputs'!$B$29,'Pricing Inputs'!$B$30)</f>
        <v>730</v>
      </c>
      <c r="N66" s="10">
        <f>IF(U66="m7a.2xlarge",IF(L66="3-Yr No Upfront",'Pricing Inputs'!$E$18,'Pricing Inputs'!$D$18),IFERROR(INDEX('Pricing Inputs'!$D$6:$G$14,MATCH(U66,'Pricing Inputs'!$A$6:$A$14,0),IF(L66="3-Yr No Upfront",IF(J66="Windows",4,3),IF(J66="Windows",2,1))),"CHECK"))</f>
        <v>0.16336000000000001</v>
      </c>
      <c r="O66" s="11">
        <f t="shared" si="4"/>
        <v>119.25280000000001</v>
      </c>
      <c r="P66" s="11">
        <f>I66*'Pricing Inputs'!$B$22</f>
        <v>12.090400000000001</v>
      </c>
      <c r="Q66" s="11">
        <f>I66*'Pricing Inputs'!$B$24*IF(OR(C66="Prod",C66="Prod/UAT/Dev"),'Pricing Inputs'!$B$31,'Pricing Inputs'!$B$32)</f>
        <v>9.5250000000000004</v>
      </c>
      <c r="R66" s="11">
        <f>IF(Y66="Yes",('Pricing Inputs'!$B$25*'Pricing Inputs'!$B$29)+(I66*'Pricing Inputs'!$B$26*'Pricing Inputs'!$B$23),0)</f>
        <v>22.6752</v>
      </c>
      <c r="S66" s="11">
        <f t="shared" si="5"/>
        <v>163.54339999999999</v>
      </c>
      <c r="T66" s="9"/>
      <c r="U66" s="13" t="s">
        <v>146</v>
      </c>
      <c r="V66" s="13">
        <v>2</v>
      </c>
      <c r="W66" s="13">
        <v>16</v>
      </c>
      <c r="X66" t="s">
        <v>270</v>
      </c>
      <c r="Y66" t="s">
        <v>127</v>
      </c>
      <c r="Z66" t="s">
        <v>134</v>
      </c>
    </row>
    <row r="67" spans="1:26" ht="15" customHeight="1">
      <c r="A67" s="9">
        <v>63</v>
      </c>
      <c r="B67" s="9" t="s">
        <v>271</v>
      </c>
      <c r="C67" s="9" t="s">
        <v>121</v>
      </c>
      <c r="D67" s="9" t="s">
        <v>130</v>
      </c>
      <c r="E67" s="9">
        <v>4</v>
      </c>
      <c r="F67" s="9">
        <v>16</v>
      </c>
      <c r="G67" s="9">
        <v>127</v>
      </c>
      <c r="H67" s="9">
        <v>0</v>
      </c>
      <c r="I67" s="9">
        <f t="shared" si="3"/>
        <v>127</v>
      </c>
      <c r="J67" s="9" t="s">
        <v>131</v>
      </c>
      <c r="K67" s="9" t="s">
        <v>132</v>
      </c>
      <c r="L67" s="9" t="s">
        <v>125</v>
      </c>
      <c r="M67" s="9">
        <f>IF(L67="3-Yr No Upfront",'Pricing Inputs'!$B$29,'Pricing Inputs'!$B$30)</f>
        <v>730</v>
      </c>
      <c r="N67" s="10">
        <f>IF(U67="m7a.2xlarge",IF(L67="3-Yr No Upfront",'Pricing Inputs'!$E$18,'Pricing Inputs'!$D$18),IFERROR(INDEX('Pricing Inputs'!$D$6:$G$14,MATCH(U67,'Pricing Inputs'!$A$6:$A$14,0),IF(L67="3-Yr No Upfront",IF(J67="Windows",4,3),IF(J67="Windows",2,1))),"CHECK"))</f>
        <v>0.16336000000000001</v>
      </c>
      <c r="O67" s="11">
        <f t="shared" si="4"/>
        <v>119.25280000000001</v>
      </c>
      <c r="P67" s="11">
        <f>I67*'Pricing Inputs'!$B$22</f>
        <v>12.090400000000001</v>
      </c>
      <c r="Q67" s="11">
        <f>I67*'Pricing Inputs'!$B$24*IF(OR(C67="Prod",C67="Prod/UAT/Dev"),'Pricing Inputs'!$B$31,'Pricing Inputs'!$B$32)</f>
        <v>9.5250000000000004</v>
      </c>
      <c r="R67" s="11">
        <f>IF(Y67="Yes",('Pricing Inputs'!$B$25*'Pricing Inputs'!$B$29)+(I67*'Pricing Inputs'!$B$26*'Pricing Inputs'!$B$23),0)</f>
        <v>22.6752</v>
      </c>
      <c r="S67" s="11">
        <f t="shared" si="5"/>
        <v>163.54339999999999</v>
      </c>
      <c r="T67" s="9"/>
      <c r="U67" s="13" t="s">
        <v>146</v>
      </c>
      <c r="V67" s="13">
        <v>2</v>
      </c>
      <c r="W67" s="13">
        <v>16</v>
      </c>
      <c r="X67" t="s">
        <v>272</v>
      </c>
      <c r="Y67" t="s">
        <v>127</v>
      </c>
      <c r="Z67" t="s">
        <v>134</v>
      </c>
    </row>
    <row r="68" spans="1:26" ht="15" customHeight="1">
      <c r="A68" s="9">
        <v>64</v>
      </c>
      <c r="B68" s="9" t="s">
        <v>273</v>
      </c>
      <c r="C68" s="9" t="s">
        <v>121</v>
      </c>
      <c r="D68" s="9" t="s">
        <v>130</v>
      </c>
      <c r="E68" s="9">
        <v>4</v>
      </c>
      <c r="F68" s="9">
        <v>16</v>
      </c>
      <c r="G68" s="9">
        <v>127</v>
      </c>
      <c r="H68" s="9">
        <v>0</v>
      </c>
      <c r="I68" s="9">
        <f t="shared" si="3"/>
        <v>127</v>
      </c>
      <c r="J68" s="9" t="s">
        <v>131</v>
      </c>
      <c r="K68" s="9" t="s">
        <v>132</v>
      </c>
      <c r="L68" s="9" t="s">
        <v>125</v>
      </c>
      <c r="M68" s="9">
        <f>IF(L68="3-Yr No Upfront",'Pricing Inputs'!$B$29,'Pricing Inputs'!$B$30)</f>
        <v>730</v>
      </c>
      <c r="N68" s="10">
        <f>IF(U68="m7a.2xlarge",IF(L68="3-Yr No Upfront",'Pricing Inputs'!$E$18,'Pricing Inputs'!$D$18),IFERROR(INDEX('Pricing Inputs'!$D$6:$G$14,MATCH(U68,'Pricing Inputs'!$A$6:$A$14,0),IF(L68="3-Yr No Upfront",IF(J68="Windows",4,3),IF(J68="Windows",2,1))),"CHECK"))</f>
        <v>0.16336000000000001</v>
      </c>
      <c r="O68" s="11">
        <f t="shared" si="4"/>
        <v>119.25280000000001</v>
      </c>
      <c r="P68" s="11">
        <f>I68*'Pricing Inputs'!$B$22</f>
        <v>12.090400000000001</v>
      </c>
      <c r="Q68" s="11">
        <f>I68*'Pricing Inputs'!$B$24*IF(OR(C68="Prod",C68="Prod/UAT/Dev"),'Pricing Inputs'!$B$31,'Pricing Inputs'!$B$32)</f>
        <v>9.5250000000000004</v>
      </c>
      <c r="R68" s="11">
        <f>IF(Y68="Yes",('Pricing Inputs'!$B$25*'Pricing Inputs'!$B$29)+(I68*'Pricing Inputs'!$B$26*'Pricing Inputs'!$B$23),0)</f>
        <v>22.6752</v>
      </c>
      <c r="S68" s="11">
        <f t="shared" si="5"/>
        <v>163.54339999999999</v>
      </c>
      <c r="T68" s="9"/>
      <c r="U68" s="13" t="s">
        <v>146</v>
      </c>
      <c r="V68" s="13">
        <v>2</v>
      </c>
      <c r="W68" s="13">
        <v>16</v>
      </c>
      <c r="X68" t="s">
        <v>274</v>
      </c>
      <c r="Y68" t="s">
        <v>127</v>
      </c>
      <c r="Z68" t="s">
        <v>134</v>
      </c>
    </row>
    <row r="69" spans="1:26" ht="15" customHeight="1">
      <c r="A69" s="9">
        <v>65</v>
      </c>
      <c r="B69" s="9" t="s">
        <v>275</v>
      </c>
      <c r="C69" s="9" t="s">
        <v>121</v>
      </c>
      <c r="D69" s="9" t="s">
        <v>130</v>
      </c>
      <c r="E69" s="9">
        <v>4</v>
      </c>
      <c r="F69" s="9">
        <v>16</v>
      </c>
      <c r="G69" s="9">
        <v>127</v>
      </c>
      <c r="H69" s="9">
        <v>0</v>
      </c>
      <c r="I69" s="9">
        <f t="shared" ref="I69:I100" si="6">G69+H69</f>
        <v>127</v>
      </c>
      <c r="J69" s="9" t="s">
        <v>131</v>
      </c>
      <c r="K69" s="9" t="s">
        <v>132</v>
      </c>
      <c r="L69" s="9" t="s">
        <v>125</v>
      </c>
      <c r="M69" s="9">
        <f>IF(L69="3-Yr No Upfront",'Pricing Inputs'!$B$29,'Pricing Inputs'!$B$30)</f>
        <v>730</v>
      </c>
      <c r="N69" s="10">
        <f>IF(U69="m7a.2xlarge",IF(L69="3-Yr No Upfront",'Pricing Inputs'!$E$18,'Pricing Inputs'!$D$18),IFERROR(INDEX('Pricing Inputs'!$D$6:$G$14,MATCH(U69,'Pricing Inputs'!$A$6:$A$14,0),IF(L69="3-Yr No Upfront",IF(J69="Windows",4,3),IF(J69="Windows",2,1))),"CHECK"))</f>
        <v>0.29166999999999998</v>
      </c>
      <c r="O69" s="11">
        <f t="shared" ref="O69:O100" si="7">M69*N69</f>
        <v>212.91909999999999</v>
      </c>
      <c r="P69" s="11">
        <f>I69*'Pricing Inputs'!$B$22</f>
        <v>12.090400000000001</v>
      </c>
      <c r="Q69" s="11">
        <f>I69*'Pricing Inputs'!$B$24*IF(OR(C69="Prod",C69="Prod/UAT/Dev"),'Pricing Inputs'!$B$31,'Pricing Inputs'!$B$32)</f>
        <v>9.5250000000000004</v>
      </c>
      <c r="R69" s="11">
        <f>IF(Y69="Yes",('Pricing Inputs'!$B$25*'Pricing Inputs'!$B$29)+(I69*'Pricing Inputs'!$B$26*'Pricing Inputs'!$B$23),0)</f>
        <v>22.6752</v>
      </c>
      <c r="S69" s="11">
        <f t="shared" ref="S69:S100" si="8">O69+P69+Q69+R69</f>
        <v>257.2097</v>
      </c>
      <c r="T69" s="9"/>
      <c r="U69" s="12" t="s">
        <v>132</v>
      </c>
      <c r="V69" s="12">
        <v>4</v>
      </c>
      <c r="W69" s="12">
        <v>16</v>
      </c>
      <c r="X69" t="s">
        <v>276</v>
      </c>
      <c r="Y69" t="s">
        <v>127</v>
      </c>
      <c r="Z69" t="s">
        <v>134</v>
      </c>
    </row>
    <row r="70" spans="1:26" ht="15" customHeight="1">
      <c r="A70" s="9">
        <v>66</v>
      </c>
      <c r="B70" s="9" t="s">
        <v>277</v>
      </c>
      <c r="C70" s="9" t="s">
        <v>121</v>
      </c>
      <c r="D70" s="9" t="s">
        <v>130</v>
      </c>
      <c r="E70" s="9">
        <v>4</v>
      </c>
      <c r="F70" s="9">
        <v>16</v>
      </c>
      <c r="G70" s="9">
        <v>127</v>
      </c>
      <c r="H70" s="9">
        <v>0</v>
      </c>
      <c r="I70" s="9">
        <f t="shared" si="6"/>
        <v>127</v>
      </c>
      <c r="J70" s="9" t="s">
        <v>131</v>
      </c>
      <c r="K70" s="9" t="s">
        <v>132</v>
      </c>
      <c r="L70" s="9" t="s">
        <v>125</v>
      </c>
      <c r="M70" s="9">
        <f>IF(L70="3-Yr No Upfront",'Pricing Inputs'!$B$29,'Pricing Inputs'!$B$30)</f>
        <v>730</v>
      </c>
      <c r="N70" s="10">
        <f>IF(U70="m7a.2xlarge",IF(L70="3-Yr No Upfront",'Pricing Inputs'!$E$18,'Pricing Inputs'!$D$18),IFERROR(INDEX('Pricing Inputs'!$D$6:$G$14,MATCH(U70,'Pricing Inputs'!$A$6:$A$14,0),IF(L70="3-Yr No Upfront",IF(J70="Windows",4,3),IF(J70="Windows",2,1))),"CHECK"))</f>
        <v>0.16336000000000001</v>
      </c>
      <c r="O70" s="11">
        <f t="shared" si="7"/>
        <v>119.25280000000001</v>
      </c>
      <c r="P70" s="11">
        <f>I70*'Pricing Inputs'!$B$22</f>
        <v>12.090400000000001</v>
      </c>
      <c r="Q70" s="11">
        <f>I70*'Pricing Inputs'!$B$24*IF(OR(C70="Prod",C70="Prod/UAT/Dev"),'Pricing Inputs'!$B$31,'Pricing Inputs'!$B$32)</f>
        <v>9.5250000000000004</v>
      </c>
      <c r="R70" s="11">
        <f>IF(Y70="Yes",('Pricing Inputs'!$B$25*'Pricing Inputs'!$B$29)+(I70*'Pricing Inputs'!$B$26*'Pricing Inputs'!$B$23),0)</f>
        <v>22.6752</v>
      </c>
      <c r="S70" s="11">
        <f t="shared" si="8"/>
        <v>163.54339999999999</v>
      </c>
      <c r="T70" s="9"/>
      <c r="U70" s="13" t="s">
        <v>146</v>
      </c>
      <c r="V70" s="13">
        <v>2</v>
      </c>
      <c r="W70" s="13">
        <v>16</v>
      </c>
      <c r="X70" t="s">
        <v>278</v>
      </c>
      <c r="Y70" t="s">
        <v>127</v>
      </c>
      <c r="Z70" t="s">
        <v>134</v>
      </c>
    </row>
    <row r="71" spans="1:26" ht="15" customHeight="1">
      <c r="A71" s="9">
        <v>67</v>
      </c>
      <c r="B71" s="9" t="s">
        <v>279</v>
      </c>
      <c r="C71" s="9" t="s">
        <v>121</v>
      </c>
      <c r="D71" s="9" t="s">
        <v>130</v>
      </c>
      <c r="E71" s="9">
        <v>4</v>
      </c>
      <c r="F71" s="9">
        <v>16</v>
      </c>
      <c r="G71" s="9">
        <v>127</v>
      </c>
      <c r="H71" s="9">
        <v>0</v>
      </c>
      <c r="I71" s="9">
        <f t="shared" si="6"/>
        <v>127</v>
      </c>
      <c r="J71" s="9" t="s">
        <v>131</v>
      </c>
      <c r="K71" s="9" t="s">
        <v>132</v>
      </c>
      <c r="L71" s="9" t="s">
        <v>125</v>
      </c>
      <c r="M71" s="9">
        <f>IF(L71="3-Yr No Upfront",'Pricing Inputs'!$B$29,'Pricing Inputs'!$B$30)</f>
        <v>730</v>
      </c>
      <c r="N71" s="10">
        <f>IF(U71="m7a.2xlarge",IF(L71="3-Yr No Upfront",'Pricing Inputs'!$E$18,'Pricing Inputs'!$D$18),IFERROR(INDEX('Pricing Inputs'!$D$6:$G$14,MATCH(U71,'Pricing Inputs'!$A$6:$A$14,0),IF(L71="3-Yr No Upfront",IF(J71="Windows",4,3),IF(J71="Windows",2,1))),"CHECK"))</f>
        <v>0.16336000000000001</v>
      </c>
      <c r="O71" s="11">
        <f t="shared" si="7"/>
        <v>119.25280000000001</v>
      </c>
      <c r="P71" s="11">
        <f>I71*'Pricing Inputs'!$B$22</f>
        <v>12.090400000000001</v>
      </c>
      <c r="Q71" s="11">
        <f>I71*'Pricing Inputs'!$B$24*IF(OR(C71="Prod",C71="Prod/UAT/Dev"),'Pricing Inputs'!$B$31,'Pricing Inputs'!$B$32)</f>
        <v>9.5250000000000004</v>
      </c>
      <c r="R71" s="11">
        <f>IF(Y71="Yes",('Pricing Inputs'!$B$25*'Pricing Inputs'!$B$29)+(I71*'Pricing Inputs'!$B$26*'Pricing Inputs'!$B$23),0)</f>
        <v>22.6752</v>
      </c>
      <c r="S71" s="11">
        <f t="shared" si="8"/>
        <v>163.54339999999999</v>
      </c>
      <c r="T71" s="9"/>
      <c r="U71" s="13" t="s">
        <v>146</v>
      </c>
      <c r="V71" s="13">
        <v>2</v>
      </c>
      <c r="W71" s="13">
        <v>16</v>
      </c>
      <c r="X71" t="s">
        <v>280</v>
      </c>
      <c r="Y71" t="s">
        <v>127</v>
      </c>
      <c r="Z71" t="s">
        <v>134</v>
      </c>
    </row>
    <row r="72" spans="1:26" ht="15" customHeight="1">
      <c r="A72" s="9">
        <v>68</v>
      </c>
      <c r="B72" s="9" t="s">
        <v>281</v>
      </c>
      <c r="C72" s="9" t="s">
        <v>121</v>
      </c>
      <c r="D72" s="9" t="s">
        <v>130</v>
      </c>
      <c r="E72" s="9">
        <v>4</v>
      </c>
      <c r="F72" s="9">
        <v>16</v>
      </c>
      <c r="G72" s="9">
        <v>127</v>
      </c>
      <c r="H72" s="9">
        <v>0</v>
      </c>
      <c r="I72" s="9">
        <f t="shared" si="6"/>
        <v>127</v>
      </c>
      <c r="J72" s="9" t="s">
        <v>131</v>
      </c>
      <c r="K72" s="9" t="s">
        <v>132</v>
      </c>
      <c r="L72" s="9" t="s">
        <v>125</v>
      </c>
      <c r="M72" s="9">
        <f>IF(L72="3-Yr No Upfront",'Pricing Inputs'!$B$29,'Pricing Inputs'!$B$30)</f>
        <v>730</v>
      </c>
      <c r="N72" s="10">
        <f>IF(U72="m7a.2xlarge",IF(L72="3-Yr No Upfront",'Pricing Inputs'!$E$18,'Pricing Inputs'!$D$18),IFERROR(INDEX('Pricing Inputs'!$D$6:$G$14,MATCH(U72,'Pricing Inputs'!$A$6:$A$14,0),IF(L72="3-Yr No Upfront",IF(J72="Windows",4,3),IF(J72="Windows",2,1))),"CHECK"))</f>
        <v>0.16336000000000001</v>
      </c>
      <c r="O72" s="11">
        <f t="shared" si="7"/>
        <v>119.25280000000001</v>
      </c>
      <c r="P72" s="11">
        <f>I72*'Pricing Inputs'!$B$22</f>
        <v>12.090400000000001</v>
      </c>
      <c r="Q72" s="11">
        <f>I72*'Pricing Inputs'!$B$24*IF(OR(C72="Prod",C72="Prod/UAT/Dev"),'Pricing Inputs'!$B$31,'Pricing Inputs'!$B$32)</f>
        <v>9.5250000000000004</v>
      </c>
      <c r="R72" s="11">
        <f>IF(Y72="Yes",('Pricing Inputs'!$B$25*'Pricing Inputs'!$B$29)+(I72*'Pricing Inputs'!$B$26*'Pricing Inputs'!$B$23),0)</f>
        <v>22.6752</v>
      </c>
      <c r="S72" s="11">
        <f t="shared" si="8"/>
        <v>163.54339999999999</v>
      </c>
      <c r="T72" s="9"/>
      <c r="U72" s="13" t="s">
        <v>146</v>
      </c>
      <c r="V72" s="13">
        <v>2</v>
      </c>
      <c r="W72" s="13">
        <v>16</v>
      </c>
      <c r="X72" t="s">
        <v>282</v>
      </c>
      <c r="Y72" t="s">
        <v>127</v>
      </c>
      <c r="Z72" t="s">
        <v>134</v>
      </c>
    </row>
    <row r="73" spans="1:26" ht="15" customHeight="1">
      <c r="A73" s="9">
        <v>69</v>
      </c>
      <c r="B73" s="9" t="s">
        <v>283</v>
      </c>
      <c r="C73" s="9" t="s">
        <v>121</v>
      </c>
      <c r="D73" s="9" t="s">
        <v>130</v>
      </c>
      <c r="E73" s="9">
        <v>4</v>
      </c>
      <c r="F73" s="9">
        <v>16</v>
      </c>
      <c r="G73" s="9">
        <v>127</v>
      </c>
      <c r="H73" s="9">
        <v>0</v>
      </c>
      <c r="I73" s="9">
        <f t="shared" si="6"/>
        <v>127</v>
      </c>
      <c r="J73" s="9" t="s">
        <v>131</v>
      </c>
      <c r="K73" s="9" t="s">
        <v>132</v>
      </c>
      <c r="L73" s="9" t="s">
        <v>125</v>
      </c>
      <c r="M73" s="9">
        <f>IF(L73="3-Yr No Upfront",'Pricing Inputs'!$B$29,'Pricing Inputs'!$B$30)</f>
        <v>730</v>
      </c>
      <c r="N73" s="10">
        <f>IF(U73="m7a.2xlarge",IF(L73="3-Yr No Upfront",'Pricing Inputs'!$E$18,'Pricing Inputs'!$D$18),IFERROR(INDEX('Pricing Inputs'!$D$6:$G$14,MATCH(U73,'Pricing Inputs'!$A$6:$A$14,0),IF(L73="3-Yr No Upfront",IF(J73="Windows",4,3),IF(J73="Windows",2,1))),"CHECK"))</f>
        <v>0.16336000000000001</v>
      </c>
      <c r="O73" s="11">
        <f t="shared" si="7"/>
        <v>119.25280000000001</v>
      </c>
      <c r="P73" s="11">
        <f>I73*'Pricing Inputs'!$B$22</f>
        <v>12.090400000000001</v>
      </c>
      <c r="Q73" s="11">
        <f>I73*'Pricing Inputs'!$B$24*IF(OR(C73="Prod",C73="Prod/UAT/Dev"),'Pricing Inputs'!$B$31,'Pricing Inputs'!$B$32)</f>
        <v>9.5250000000000004</v>
      </c>
      <c r="R73" s="11">
        <f>IF(Y73="Yes",('Pricing Inputs'!$B$25*'Pricing Inputs'!$B$29)+(I73*'Pricing Inputs'!$B$26*'Pricing Inputs'!$B$23),0)</f>
        <v>22.6752</v>
      </c>
      <c r="S73" s="11">
        <f t="shared" si="8"/>
        <v>163.54339999999999</v>
      </c>
      <c r="T73" s="9"/>
      <c r="U73" s="13" t="s">
        <v>146</v>
      </c>
      <c r="V73" s="13">
        <v>2</v>
      </c>
      <c r="W73" s="13">
        <v>16</v>
      </c>
      <c r="X73" t="s">
        <v>284</v>
      </c>
      <c r="Y73" t="s">
        <v>127</v>
      </c>
      <c r="Z73" t="s">
        <v>134</v>
      </c>
    </row>
    <row r="74" spans="1:26" ht="15" customHeight="1">
      <c r="A74" s="9">
        <v>70</v>
      </c>
      <c r="B74" s="9" t="s">
        <v>285</v>
      </c>
      <c r="C74" s="9" t="s">
        <v>40</v>
      </c>
      <c r="D74" s="9" t="s">
        <v>130</v>
      </c>
      <c r="E74" s="9">
        <v>4</v>
      </c>
      <c r="F74" s="9">
        <v>16</v>
      </c>
      <c r="G74" s="9">
        <v>127</v>
      </c>
      <c r="H74" s="9">
        <v>0</v>
      </c>
      <c r="I74" s="9">
        <f t="shared" si="6"/>
        <v>127</v>
      </c>
      <c r="J74" s="9" t="s">
        <v>131</v>
      </c>
      <c r="K74" s="9" t="s">
        <v>132</v>
      </c>
      <c r="L74" s="9" t="s">
        <v>136</v>
      </c>
      <c r="M74" s="9">
        <f>IF(L74="3-Yr No Upfront",'Pricing Inputs'!$B$29,'Pricing Inputs'!$B$30)</f>
        <v>260</v>
      </c>
      <c r="N74" s="10">
        <f>IF(U74="m7a.2xlarge",IF(L74="3-Yr No Upfront",'Pricing Inputs'!$E$18,'Pricing Inputs'!$D$18),IFERROR(INDEX('Pricing Inputs'!$D$6:$G$14,MATCH(U74,'Pricing Inputs'!$A$6:$A$14,0),IF(L74="3-Yr No Upfront",IF(J74="Windows",4,3),IF(J74="Windows",2,1))),"CHECK"))</f>
        <v>0.39100000000000001</v>
      </c>
      <c r="O74" s="11">
        <f t="shared" si="7"/>
        <v>101.66</v>
      </c>
      <c r="P74" s="11">
        <f>I74*'Pricing Inputs'!$B$22</f>
        <v>12.090400000000001</v>
      </c>
      <c r="Q74" s="11">
        <f>I74*'Pricing Inputs'!$B$24*IF(OR(C74="Prod",C74="Prod/UAT/Dev"),'Pricing Inputs'!$B$31,'Pricing Inputs'!$B$32)</f>
        <v>7.62</v>
      </c>
      <c r="R74" s="11">
        <f>IF(Y74="Yes",('Pricing Inputs'!$B$25*'Pricing Inputs'!$B$29)+(I74*'Pricing Inputs'!$B$26*'Pricing Inputs'!$B$23),0)</f>
        <v>0</v>
      </c>
      <c r="S74" s="11">
        <f t="shared" si="8"/>
        <v>121.3704</v>
      </c>
      <c r="T74" s="9"/>
      <c r="U74" s="12" t="s">
        <v>132</v>
      </c>
      <c r="V74" s="12">
        <v>4</v>
      </c>
      <c r="W74" s="12">
        <v>16</v>
      </c>
      <c r="X74" t="s">
        <v>286</v>
      </c>
      <c r="Y74" t="s">
        <v>138</v>
      </c>
      <c r="Z74" t="s">
        <v>134</v>
      </c>
    </row>
    <row r="75" spans="1:26" ht="15" customHeight="1">
      <c r="A75" s="9">
        <v>71</v>
      </c>
      <c r="B75" s="9" t="s">
        <v>287</v>
      </c>
      <c r="C75" s="9" t="s">
        <v>40</v>
      </c>
      <c r="D75" s="9" t="s">
        <v>130</v>
      </c>
      <c r="E75" s="9">
        <v>4</v>
      </c>
      <c r="F75" s="9">
        <v>16</v>
      </c>
      <c r="G75" s="9">
        <v>127</v>
      </c>
      <c r="H75" s="9">
        <v>0</v>
      </c>
      <c r="I75" s="9">
        <f t="shared" si="6"/>
        <v>127</v>
      </c>
      <c r="J75" s="9" t="s">
        <v>131</v>
      </c>
      <c r="K75" s="9" t="s">
        <v>132</v>
      </c>
      <c r="L75" s="9" t="s">
        <v>136</v>
      </c>
      <c r="M75" s="9">
        <f>IF(L75="3-Yr No Upfront",'Pricing Inputs'!$B$29,'Pricing Inputs'!$B$30)</f>
        <v>260</v>
      </c>
      <c r="N75" s="10">
        <f>IF(U75="m7a.2xlarge",IF(L75="3-Yr No Upfront",'Pricing Inputs'!$E$18,'Pricing Inputs'!$D$18),IFERROR(INDEX('Pricing Inputs'!$D$6:$G$14,MATCH(U75,'Pricing Inputs'!$A$6:$A$14,0),IF(L75="3-Yr No Upfront",IF(J75="Windows",4,3),IF(J75="Windows",2,1))),"CHECK"))</f>
        <v>0.2288</v>
      </c>
      <c r="O75" s="11">
        <f t="shared" si="7"/>
        <v>59.488</v>
      </c>
      <c r="P75" s="11">
        <f>I75*'Pricing Inputs'!$B$22</f>
        <v>12.090400000000001</v>
      </c>
      <c r="Q75" s="11">
        <f>I75*'Pricing Inputs'!$B$24*IF(OR(C75="Prod",C75="Prod/UAT/Dev"),'Pricing Inputs'!$B$31,'Pricing Inputs'!$B$32)</f>
        <v>7.62</v>
      </c>
      <c r="R75" s="11">
        <f>IF(Y75="Yes",('Pricing Inputs'!$B$25*'Pricing Inputs'!$B$29)+(I75*'Pricing Inputs'!$B$26*'Pricing Inputs'!$B$23),0)</f>
        <v>0</v>
      </c>
      <c r="S75" s="11">
        <f t="shared" si="8"/>
        <v>79.198400000000007</v>
      </c>
      <c r="T75" s="9"/>
      <c r="U75" s="13" t="s">
        <v>146</v>
      </c>
      <c r="V75" s="13">
        <v>2</v>
      </c>
      <c r="W75" s="13">
        <v>16</v>
      </c>
      <c r="X75" t="s">
        <v>288</v>
      </c>
      <c r="Y75" t="s">
        <v>138</v>
      </c>
      <c r="Z75" t="s">
        <v>134</v>
      </c>
    </row>
    <row r="76" spans="1:26" ht="15" customHeight="1">
      <c r="A76" s="9">
        <v>72</v>
      </c>
      <c r="B76" s="9" t="s">
        <v>289</v>
      </c>
      <c r="C76" s="9" t="s">
        <v>40</v>
      </c>
      <c r="D76" s="9" t="s">
        <v>130</v>
      </c>
      <c r="E76" s="9">
        <v>4</v>
      </c>
      <c r="F76" s="9">
        <v>16</v>
      </c>
      <c r="G76" s="9">
        <v>127</v>
      </c>
      <c r="H76" s="9">
        <v>0</v>
      </c>
      <c r="I76" s="9">
        <f t="shared" si="6"/>
        <v>127</v>
      </c>
      <c r="J76" s="9" t="s">
        <v>131</v>
      </c>
      <c r="K76" s="9" t="s">
        <v>132</v>
      </c>
      <c r="L76" s="9" t="s">
        <v>136</v>
      </c>
      <c r="M76" s="9">
        <f>IF(L76="3-Yr No Upfront",'Pricing Inputs'!$B$29,'Pricing Inputs'!$B$30)</f>
        <v>260</v>
      </c>
      <c r="N76" s="10">
        <f>IF(U76="m7a.2xlarge",IF(L76="3-Yr No Upfront",'Pricing Inputs'!$E$18,'Pricing Inputs'!$D$18),IFERROR(INDEX('Pricing Inputs'!$D$6:$G$14,MATCH(U76,'Pricing Inputs'!$A$6:$A$14,0),IF(L76="3-Yr No Upfront",IF(J76="Windows",4,3),IF(J76="Windows",2,1))),"CHECK"))</f>
        <v>0.2288</v>
      </c>
      <c r="O76" s="11">
        <f t="shared" si="7"/>
        <v>59.488</v>
      </c>
      <c r="P76" s="11">
        <f>I76*'Pricing Inputs'!$B$22</f>
        <v>12.090400000000001</v>
      </c>
      <c r="Q76" s="11">
        <f>I76*'Pricing Inputs'!$B$24*IF(OR(C76="Prod",C76="Prod/UAT/Dev"),'Pricing Inputs'!$B$31,'Pricing Inputs'!$B$32)</f>
        <v>7.62</v>
      </c>
      <c r="R76" s="11">
        <f>IF(Y76="Yes",('Pricing Inputs'!$B$25*'Pricing Inputs'!$B$29)+(I76*'Pricing Inputs'!$B$26*'Pricing Inputs'!$B$23),0)</f>
        <v>0</v>
      </c>
      <c r="S76" s="11">
        <f t="shared" si="8"/>
        <v>79.198400000000007</v>
      </c>
      <c r="T76" s="9"/>
      <c r="U76" s="13" t="s">
        <v>146</v>
      </c>
      <c r="V76" s="13">
        <v>2</v>
      </c>
      <c r="W76" s="13">
        <v>16</v>
      </c>
      <c r="X76" t="s">
        <v>290</v>
      </c>
      <c r="Y76" t="s">
        <v>138</v>
      </c>
      <c r="Z76" t="s">
        <v>134</v>
      </c>
    </row>
    <row r="77" spans="1:26" ht="15" customHeight="1">
      <c r="A77" s="9">
        <v>73</v>
      </c>
      <c r="B77" s="9" t="s">
        <v>291</v>
      </c>
      <c r="C77" s="9" t="s">
        <v>121</v>
      </c>
      <c r="D77" s="9" t="s">
        <v>130</v>
      </c>
      <c r="E77" s="9">
        <v>4</v>
      </c>
      <c r="F77" s="9">
        <v>15.95</v>
      </c>
      <c r="G77" s="9">
        <v>127</v>
      </c>
      <c r="H77" s="9">
        <v>0</v>
      </c>
      <c r="I77" s="9">
        <f t="shared" si="6"/>
        <v>127</v>
      </c>
      <c r="J77" s="9" t="s">
        <v>131</v>
      </c>
      <c r="K77" s="9" t="s">
        <v>132</v>
      </c>
      <c r="L77" s="9" t="s">
        <v>125</v>
      </c>
      <c r="M77" s="9">
        <f>IF(L77="3-Yr No Upfront",'Pricing Inputs'!$B$29,'Pricing Inputs'!$B$30)</f>
        <v>730</v>
      </c>
      <c r="N77" s="10">
        <f>IF(U77="m7a.2xlarge",IF(L77="3-Yr No Upfront",'Pricing Inputs'!$E$18,'Pricing Inputs'!$D$18),IFERROR(INDEX('Pricing Inputs'!$D$6:$G$14,MATCH(U77,'Pricing Inputs'!$A$6:$A$14,0),IF(L77="3-Yr No Upfront",IF(J77="Windows",4,3),IF(J77="Windows",2,1))),"CHECK"))</f>
        <v>0.29166999999999998</v>
      </c>
      <c r="O77" s="11">
        <f t="shared" si="7"/>
        <v>212.91909999999999</v>
      </c>
      <c r="P77" s="11">
        <f>I77*'Pricing Inputs'!$B$22</f>
        <v>12.090400000000001</v>
      </c>
      <c r="Q77" s="11">
        <f>I77*'Pricing Inputs'!$B$24*IF(OR(C77="Prod",C77="Prod/UAT/Dev"),'Pricing Inputs'!$B$31,'Pricing Inputs'!$B$32)</f>
        <v>9.5250000000000004</v>
      </c>
      <c r="R77" s="11">
        <f>IF(Y77="Yes",('Pricing Inputs'!$B$25*'Pricing Inputs'!$B$29)+(I77*'Pricing Inputs'!$B$26*'Pricing Inputs'!$B$23),0)</f>
        <v>22.6752</v>
      </c>
      <c r="S77" s="11">
        <f t="shared" si="8"/>
        <v>257.2097</v>
      </c>
      <c r="T77" s="9"/>
      <c r="U77" s="12" t="s">
        <v>132</v>
      </c>
      <c r="V77" s="12">
        <v>4</v>
      </c>
      <c r="W77" s="12">
        <v>15.95</v>
      </c>
      <c r="X77" t="s">
        <v>292</v>
      </c>
      <c r="Y77" t="s">
        <v>127</v>
      </c>
      <c r="Z77" t="s">
        <v>134</v>
      </c>
    </row>
    <row r="78" spans="1:26" ht="15" customHeight="1">
      <c r="A78" s="9">
        <v>74</v>
      </c>
      <c r="B78" s="9" t="s">
        <v>293</v>
      </c>
      <c r="C78" s="9" t="s">
        <v>121</v>
      </c>
      <c r="D78" s="9" t="s">
        <v>130</v>
      </c>
      <c r="E78" s="9">
        <v>4</v>
      </c>
      <c r="F78" s="9">
        <v>16</v>
      </c>
      <c r="G78" s="9">
        <v>127</v>
      </c>
      <c r="H78" s="9">
        <v>256</v>
      </c>
      <c r="I78" s="9">
        <f t="shared" si="6"/>
        <v>383</v>
      </c>
      <c r="J78" s="9" t="s">
        <v>131</v>
      </c>
      <c r="K78" s="9" t="s">
        <v>132</v>
      </c>
      <c r="L78" s="9" t="s">
        <v>125</v>
      </c>
      <c r="M78" s="9">
        <f>IF(L78="3-Yr No Upfront",'Pricing Inputs'!$B$29,'Pricing Inputs'!$B$30)</f>
        <v>730</v>
      </c>
      <c r="N78" s="10">
        <f>IF(U78="m7a.2xlarge",IF(L78="3-Yr No Upfront",'Pricing Inputs'!$E$18,'Pricing Inputs'!$D$18),IFERROR(INDEX('Pricing Inputs'!$D$6:$G$14,MATCH(U78,'Pricing Inputs'!$A$6:$A$14,0),IF(L78="3-Yr No Upfront",IF(J78="Windows",4,3),IF(J78="Windows",2,1))),"CHECK"))</f>
        <v>0.14582999999999999</v>
      </c>
      <c r="O78" s="11">
        <f t="shared" si="7"/>
        <v>106.45589999999999</v>
      </c>
      <c r="P78" s="11">
        <f>I78*'Pricing Inputs'!$B$22</f>
        <v>36.461600000000004</v>
      </c>
      <c r="Q78" s="11">
        <f>I78*'Pricing Inputs'!$B$24*IF(OR(C78="Prod",C78="Prod/UAT/Dev"),'Pricing Inputs'!$B$31,'Pricing Inputs'!$B$32)</f>
        <v>28.725000000000001</v>
      </c>
      <c r="R78" s="11">
        <f>IF(Y78="Yes",('Pricing Inputs'!$B$25*'Pricing Inputs'!$B$29)+(I78*'Pricing Inputs'!$B$26*'Pricing Inputs'!$B$23),0)</f>
        <v>27.180800000000001</v>
      </c>
      <c r="S78" s="11">
        <f t="shared" si="8"/>
        <v>198.82329999999999</v>
      </c>
      <c r="T78" s="9"/>
      <c r="U78" s="13" t="s">
        <v>124</v>
      </c>
      <c r="V78" s="13">
        <v>2</v>
      </c>
      <c r="W78" s="13">
        <v>8</v>
      </c>
      <c r="X78" t="s">
        <v>294</v>
      </c>
      <c r="Y78" t="s">
        <v>127</v>
      </c>
      <c r="Z78" t="s">
        <v>134</v>
      </c>
    </row>
    <row r="79" spans="1:26" ht="15" customHeight="1">
      <c r="A79" s="9">
        <v>75</v>
      </c>
      <c r="B79" s="9" t="s">
        <v>295</v>
      </c>
      <c r="C79" s="9" t="s">
        <v>121</v>
      </c>
      <c r="D79" s="9" t="s">
        <v>184</v>
      </c>
      <c r="E79" s="9">
        <v>2</v>
      </c>
      <c r="F79" s="9">
        <v>8</v>
      </c>
      <c r="G79" s="9">
        <v>127</v>
      </c>
      <c r="H79" s="9">
        <v>0</v>
      </c>
      <c r="I79" s="9">
        <f t="shared" si="6"/>
        <v>127</v>
      </c>
      <c r="J79" s="9" t="s">
        <v>131</v>
      </c>
      <c r="K79" s="9" t="s">
        <v>124</v>
      </c>
      <c r="L79" s="9" t="s">
        <v>125</v>
      </c>
      <c r="M79" s="9">
        <f>IF(L79="3-Yr No Upfront",'Pricing Inputs'!$B$29,'Pricing Inputs'!$B$30)</f>
        <v>730</v>
      </c>
      <c r="N79" s="10">
        <f>IF(U79="m7a.2xlarge",IF(L79="3-Yr No Upfront",'Pricing Inputs'!$E$18,'Pricing Inputs'!$D$18),IFERROR(INDEX('Pricing Inputs'!$D$6:$G$14,MATCH(U79,'Pricing Inputs'!$A$6:$A$14,0),IF(L79="3-Yr No Upfront",IF(J79="Windows",4,3),IF(J79="Windows",2,1))),"CHECK"))</f>
        <v>0.14582999999999999</v>
      </c>
      <c r="O79" s="11">
        <f t="shared" si="7"/>
        <v>106.45589999999999</v>
      </c>
      <c r="P79" s="11">
        <f>I79*'Pricing Inputs'!$B$22</f>
        <v>12.090400000000001</v>
      </c>
      <c r="Q79" s="11">
        <f>I79*'Pricing Inputs'!$B$24*IF(OR(C79="Prod",C79="Prod/UAT/Dev"),'Pricing Inputs'!$B$31,'Pricing Inputs'!$B$32)</f>
        <v>9.5250000000000004</v>
      </c>
      <c r="R79" s="11">
        <f>IF(Y79="Yes",('Pricing Inputs'!$B$25*'Pricing Inputs'!$B$29)+(I79*'Pricing Inputs'!$B$26*'Pricing Inputs'!$B$23),0)</f>
        <v>22.6752</v>
      </c>
      <c r="S79" s="11">
        <f t="shared" si="8"/>
        <v>150.74649999999997</v>
      </c>
      <c r="T79" s="9"/>
      <c r="U79" s="12" t="s">
        <v>124</v>
      </c>
      <c r="V79" s="12">
        <v>2</v>
      </c>
      <c r="W79" s="12">
        <v>8</v>
      </c>
      <c r="X79" t="s">
        <v>296</v>
      </c>
      <c r="Y79" t="s">
        <v>127</v>
      </c>
      <c r="Z79" t="s">
        <v>134</v>
      </c>
    </row>
    <row r="80" spans="1:26" ht="15" customHeight="1">
      <c r="A80" s="9">
        <v>76</v>
      </c>
      <c r="B80" s="9" t="s">
        <v>297</v>
      </c>
      <c r="C80" s="9" t="s">
        <v>121</v>
      </c>
      <c r="D80" s="9" t="s">
        <v>298</v>
      </c>
      <c r="E80" s="9">
        <v>4</v>
      </c>
      <c r="F80" s="9">
        <v>16</v>
      </c>
      <c r="G80" s="9">
        <v>127</v>
      </c>
      <c r="H80" s="9">
        <v>256</v>
      </c>
      <c r="I80" s="9">
        <f t="shared" si="6"/>
        <v>383</v>
      </c>
      <c r="J80" s="9" t="s">
        <v>131</v>
      </c>
      <c r="K80" s="9" t="s">
        <v>132</v>
      </c>
      <c r="L80" s="9" t="s">
        <v>125</v>
      </c>
      <c r="M80" s="9">
        <f>IF(L80="3-Yr No Upfront",'Pricing Inputs'!$B$29,'Pricing Inputs'!$B$30)</f>
        <v>730</v>
      </c>
      <c r="N80" s="10">
        <f>IF(U80="m7a.2xlarge",IF(L80="3-Yr No Upfront",'Pricing Inputs'!$E$18,'Pricing Inputs'!$D$18),IFERROR(INDEX('Pricing Inputs'!$D$6:$G$14,MATCH(U80,'Pricing Inputs'!$A$6:$A$14,0),IF(L80="3-Yr No Upfront",IF(J80="Windows",4,3),IF(J80="Windows",2,1))),"CHECK"))</f>
        <v>0.16336000000000001</v>
      </c>
      <c r="O80" s="11">
        <f t="shared" si="7"/>
        <v>119.25280000000001</v>
      </c>
      <c r="P80" s="11">
        <f>I80*'Pricing Inputs'!$B$22</f>
        <v>36.461600000000004</v>
      </c>
      <c r="Q80" s="11">
        <f>I80*'Pricing Inputs'!$B$24*IF(OR(C80="Prod",C80="Prod/UAT/Dev"),'Pricing Inputs'!$B$31,'Pricing Inputs'!$B$32)</f>
        <v>28.725000000000001</v>
      </c>
      <c r="R80" s="11">
        <f>IF(Y80="Yes",('Pricing Inputs'!$B$25*'Pricing Inputs'!$B$29)+(I80*'Pricing Inputs'!$B$26*'Pricing Inputs'!$B$23),0)</f>
        <v>27.180800000000001</v>
      </c>
      <c r="S80" s="11">
        <f t="shared" si="8"/>
        <v>211.62020000000001</v>
      </c>
      <c r="T80" s="9"/>
      <c r="U80" s="13" t="s">
        <v>146</v>
      </c>
      <c r="V80" s="13">
        <v>2</v>
      </c>
      <c r="W80" s="13">
        <v>16</v>
      </c>
      <c r="X80" t="s">
        <v>299</v>
      </c>
      <c r="Y80" t="s">
        <v>127</v>
      </c>
      <c r="Z80" t="s">
        <v>134</v>
      </c>
    </row>
    <row r="81" spans="1:26" ht="15" customHeight="1">
      <c r="A81" s="9">
        <v>77</v>
      </c>
      <c r="B81" s="9" t="s">
        <v>300</v>
      </c>
      <c r="C81" s="9" t="s">
        <v>121</v>
      </c>
      <c r="D81" s="9" t="s">
        <v>230</v>
      </c>
      <c r="E81" s="9">
        <v>4</v>
      </c>
      <c r="F81" s="9">
        <v>32</v>
      </c>
      <c r="G81" s="9">
        <v>127</v>
      </c>
      <c r="H81" s="9">
        <v>640</v>
      </c>
      <c r="I81" s="9">
        <f t="shared" si="6"/>
        <v>767</v>
      </c>
      <c r="J81" s="9" t="s">
        <v>131</v>
      </c>
      <c r="K81" s="9" t="s">
        <v>231</v>
      </c>
      <c r="L81" s="9" t="s">
        <v>125</v>
      </c>
      <c r="M81" s="9">
        <f>IF(L81="3-Yr No Upfront",'Pricing Inputs'!$B$29,'Pricing Inputs'!$B$30)</f>
        <v>730</v>
      </c>
      <c r="N81" s="10">
        <f>IF(U81="m7a.2xlarge",IF(L81="3-Yr No Upfront",'Pricing Inputs'!$E$18,'Pricing Inputs'!$D$18),IFERROR(INDEX('Pricing Inputs'!$D$6:$G$14,MATCH(U81,'Pricing Inputs'!$A$6:$A$14,0),IF(L81="3-Yr No Upfront",IF(J81="Windows",4,3),IF(J81="Windows",2,1))),"CHECK"))</f>
        <v>0.32672000000000001</v>
      </c>
      <c r="O81" s="11">
        <f t="shared" si="7"/>
        <v>238.50560000000002</v>
      </c>
      <c r="P81" s="11">
        <f>I81*'Pricing Inputs'!$B$22</f>
        <v>73.0184</v>
      </c>
      <c r="Q81" s="11">
        <f>I81*'Pricing Inputs'!$B$24*IF(OR(C81="Prod",C81="Prod/UAT/Dev"),'Pricing Inputs'!$B$31,'Pricing Inputs'!$B$32)</f>
        <v>57.525000000000006</v>
      </c>
      <c r="R81" s="11">
        <f>IF(Y81="Yes",('Pricing Inputs'!$B$25*'Pricing Inputs'!$B$29)+(I81*'Pricing Inputs'!$B$26*'Pricing Inputs'!$B$23),0)</f>
        <v>33.9392</v>
      </c>
      <c r="S81" s="11">
        <f t="shared" si="8"/>
        <v>402.98820000000001</v>
      </c>
      <c r="T81" s="9"/>
      <c r="U81" s="12" t="s">
        <v>231</v>
      </c>
      <c r="V81" s="12">
        <v>4</v>
      </c>
      <c r="W81" s="12">
        <v>32</v>
      </c>
      <c r="X81" t="s">
        <v>301</v>
      </c>
      <c r="Y81" t="s">
        <v>127</v>
      </c>
      <c r="Z81" t="s">
        <v>134</v>
      </c>
    </row>
    <row r="82" spans="1:26" ht="15" customHeight="1">
      <c r="A82" s="9">
        <v>78</v>
      </c>
      <c r="B82" s="9" t="s">
        <v>302</v>
      </c>
      <c r="C82" s="9" t="s">
        <v>40</v>
      </c>
      <c r="D82" s="9" t="s">
        <v>230</v>
      </c>
      <c r="E82" s="9">
        <v>4</v>
      </c>
      <c r="F82" s="9">
        <v>32</v>
      </c>
      <c r="G82" s="9">
        <v>127</v>
      </c>
      <c r="H82" s="9">
        <v>640</v>
      </c>
      <c r="I82" s="9">
        <f t="shared" si="6"/>
        <v>767</v>
      </c>
      <c r="J82" s="9" t="s">
        <v>131</v>
      </c>
      <c r="K82" s="9" t="s">
        <v>231</v>
      </c>
      <c r="L82" s="9" t="s">
        <v>136</v>
      </c>
      <c r="M82" s="9">
        <f>IF(L82="3-Yr No Upfront",'Pricing Inputs'!$B$29,'Pricing Inputs'!$B$30)</f>
        <v>260</v>
      </c>
      <c r="N82" s="10">
        <f>IF(U82="m7a.2xlarge",IF(L82="3-Yr No Upfront",'Pricing Inputs'!$E$18,'Pricing Inputs'!$D$18),IFERROR(INDEX('Pricing Inputs'!$D$6:$G$14,MATCH(U82,'Pricing Inputs'!$A$6:$A$14,0),IF(L82="3-Yr No Upfront",IF(J82="Windows",4,3),IF(J82="Windows",2,1))),"CHECK"))</f>
        <v>0.45760000000000001</v>
      </c>
      <c r="O82" s="11">
        <f t="shared" si="7"/>
        <v>118.976</v>
      </c>
      <c r="P82" s="11">
        <f>I82*'Pricing Inputs'!$B$22</f>
        <v>73.0184</v>
      </c>
      <c r="Q82" s="11">
        <f>I82*'Pricing Inputs'!$B$24*IF(OR(C82="Prod",C82="Prod/UAT/Dev"),'Pricing Inputs'!$B$31,'Pricing Inputs'!$B$32)</f>
        <v>46.02</v>
      </c>
      <c r="R82" s="11">
        <f>IF(Y82="Yes",('Pricing Inputs'!$B$25*'Pricing Inputs'!$B$29)+(I82*'Pricing Inputs'!$B$26*'Pricing Inputs'!$B$23),0)</f>
        <v>0</v>
      </c>
      <c r="S82" s="11">
        <f t="shared" si="8"/>
        <v>238.01439999999999</v>
      </c>
      <c r="T82" s="9"/>
      <c r="U82" s="12" t="s">
        <v>231</v>
      </c>
      <c r="V82" s="12">
        <v>4</v>
      </c>
      <c r="W82" s="12">
        <v>32</v>
      </c>
      <c r="X82" t="s">
        <v>303</v>
      </c>
      <c r="Y82" t="s">
        <v>138</v>
      </c>
      <c r="Z82" t="s">
        <v>134</v>
      </c>
    </row>
    <row r="83" spans="1:26" ht="15" customHeight="1">
      <c r="A83" s="9">
        <v>79</v>
      </c>
      <c r="B83" s="9" t="s">
        <v>304</v>
      </c>
      <c r="C83" s="9" t="s">
        <v>121</v>
      </c>
      <c r="D83" s="9" t="s">
        <v>298</v>
      </c>
      <c r="E83" s="9">
        <v>4</v>
      </c>
      <c r="F83" s="9">
        <v>16</v>
      </c>
      <c r="G83" s="9">
        <v>127</v>
      </c>
      <c r="H83" s="9">
        <v>256</v>
      </c>
      <c r="I83" s="9">
        <f t="shared" si="6"/>
        <v>383</v>
      </c>
      <c r="J83" s="9" t="s">
        <v>131</v>
      </c>
      <c r="K83" s="9" t="s">
        <v>132</v>
      </c>
      <c r="L83" s="9" t="s">
        <v>125</v>
      </c>
      <c r="M83" s="9">
        <f>IF(L83="3-Yr No Upfront",'Pricing Inputs'!$B$29,'Pricing Inputs'!$B$30)</f>
        <v>730</v>
      </c>
      <c r="N83" s="10">
        <f>IF(U83="m7a.2xlarge",IF(L83="3-Yr No Upfront",'Pricing Inputs'!$E$18,'Pricing Inputs'!$D$18),IFERROR(INDEX('Pricing Inputs'!$D$6:$G$14,MATCH(U83,'Pricing Inputs'!$A$6:$A$14,0),IF(L83="3-Yr No Upfront",IF(J83="Windows",4,3),IF(J83="Windows",2,1))),"CHECK"))</f>
        <v>0.16336000000000001</v>
      </c>
      <c r="O83" s="11">
        <f t="shared" si="7"/>
        <v>119.25280000000001</v>
      </c>
      <c r="P83" s="11">
        <f>I83*'Pricing Inputs'!$B$22</f>
        <v>36.461600000000004</v>
      </c>
      <c r="Q83" s="11">
        <f>I83*'Pricing Inputs'!$B$24*IF(OR(C83="Prod",C83="Prod/UAT/Dev"),'Pricing Inputs'!$B$31,'Pricing Inputs'!$B$32)</f>
        <v>28.725000000000001</v>
      </c>
      <c r="R83" s="11">
        <f>IF(Y83="Yes",('Pricing Inputs'!$B$25*'Pricing Inputs'!$B$29)+(I83*'Pricing Inputs'!$B$26*'Pricing Inputs'!$B$23),0)</f>
        <v>27.180800000000001</v>
      </c>
      <c r="S83" s="11">
        <f t="shared" si="8"/>
        <v>211.62020000000001</v>
      </c>
      <c r="T83" s="9"/>
      <c r="U83" s="13" t="s">
        <v>146</v>
      </c>
      <c r="V83" s="13">
        <v>2</v>
      </c>
      <c r="W83" s="13">
        <v>16</v>
      </c>
      <c r="X83" t="s">
        <v>305</v>
      </c>
      <c r="Y83" t="s">
        <v>127</v>
      </c>
      <c r="Z83" t="s">
        <v>134</v>
      </c>
    </row>
    <row r="84" spans="1:26" ht="15" customHeight="1">
      <c r="A84" s="9">
        <v>80</v>
      </c>
      <c r="B84" s="9" t="s">
        <v>306</v>
      </c>
      <c r="C84" s="9" t="s">
        <v>121</v>
      </c>
      <c r="D84" s="9"/>
      <c r="E84" s="9">
        <v>8</v>
      </c>
      <c r="F84" s="9">
        <v>32</v>
      </c>
      <c r="G84" s="9">
        <v>0</v>
      </c>
      <c r="H84" s="9">
        <v>0</v>
      </c>
      <c r="I84" s="9">
        <f t="shared" si="6"/>
        <v>0</v>
      </c>
      <c r="J84" s="9" t="s">
        <v>131</v>
      </c>
      <c r="K84" s="9" t="s">
        <v>307</v>
      </c>
      <c r="L84" s="9" t="s">
        <v>125</v>
      </c>
      <c r="M84" s="9">
        <f>IF(L84="3-Yr No Upfront",'Pricing Inputs'!$B$29,'Pricing Inputs'!$B$30)</f>
        <v>730</v>
      </c>
      <c r="N84" s="10">
        <f>IF(U84="m7a.2xlarge",IF(L84="3-Yr No Upfront",'Pricing Inputs'!$E$18,'Pricing Inputs'!$D$18),IFERROR(INDEX('Pricing Inputs'!$D$6:$G$14,MATCH(U84,'Pricing Inputs'!$A$6:$A$14,0),IF(L84="3-Yr No Upfront",IF(J84="Windows",4,3),IF(J84="Windows",2,1))),"CHECK"))</f>
        <v>0.58333000000000002</v>
      </c>
      <c r="O84" s="11">
        <f t="shared" si="7"/>
        <v>425.83089999999999</v>
      </c>
      <c r="P84" s="11">
        <f>I84*'Pricing Inputs'!$B$22</f>
        <v>0</v>
      </c>
      <c r="Q84" s="11">
        <f>I84*'Pricing Inputs'!$B$24*IF(OR(C84="Prod",C84="Prod/UAT/Dev"),'Pricing Inputs'!$B$31,'Pricing Inputs'!$B$32)</f>
        <v>0</v>
      </c>
      <c r="R84" s="11">
        <f>IF(Y84="Yes",('Pricing Inputs'!$B$25*'Pricing Inputs'!$B$29)+(I84*'Pricing Inputs'!$B$26*'Pricing Inputs'!$B$23),0)</f>
        <v>20.440000000000001</v>
      </c>
      <c r="S84" s="11">
        <f t="shared" si="8"/>
        <v>446.27089999999998</v>
      </c>
      <c r="T84" s="14" t="s">
        <v>308</v>
      </c>
      <c r="U84" s="12" t="s">
        <v>307</v>
      </c>
      <c r="V84" s="12">
        <v>8</v>
      </c>
      <c r="W84" s="12">
        <v>32</v>
      </c>
      <c r="X84" t="s">
        <v>309</v>
      </c>
      <c r="Y84" t="s">
        <v>127</v>
      </c>
      <c r="Z84" t="s">
        <v>134</v>
      </c>
    </row>
    <row r="85" spans="1:26" ht="15" customHeight="1">
      <c r="A85" s="9">
        <v>81</v>
      </c>
      <c r="B85" s="9" t="s">
        <v>310</v>
      </c>
      <c r="C85" s="9" t="s">
        <v>121</v>
      </c>
      <c r="D85" s="9"/>
      <c r="E85" s="9">
        <v>8</v>
      </c>
      <c r="F85" s="9">
        <v>32</v>
      </c>
      <c r="G85" s="9">
        <v>0</v>
      </c>
      <c r="H85" s="9">
        <v>0</v>
      </c>
      <c r="I85" s="9">
        <f t="shared" si="6"/>
        <v>0</v>
      </c>
      <c r="J85" s="9" t="s">
        <v>131</v>
      </c>
      <c r="K85" s="9" t="s">
        <v>307</v>
      </c>
      <c r="L85" s="9" t="s">
        <v>125</v>
      </c>
      <c r="M85" s="9">
        <f>IF(L85="3-Yr No Upfront",'Pricing Inputs'!$B$29,'Pricing Inputs'!$B$30)</f>
        <v>730</v>
      </c>
      <c r="N85" s="10">
        <f>IF(U85="m7a.2xlarge",IF(L85="3-Yr No Upfront",'Pricing Inputs'!$E$18,'Pricing Inputs'!$D$18),IFERROR(INDEX('Pricing Inputs'!$D$6:$G$14,MATCH(U85,'Pricing Inputs'!$A$6:$A$14,0),IF(L85="3-Yr No Upfront",IF(J85="Windows",4,3),IF(J85="Windows",2,1))),"CHECK"))</f>
        <v>0.58333000000000002</v>
      </c>
      <c r="O85" s="11">
        <f t="shared" si="7"/>
        <v>425.83089999999999</v>
      </c>
      <c r="P85" s="11">
        <f>I85*'Pricing Inputs'!$B$22</f>
        <v>0</v>
      </c>
      <c r="Q85" s="11">
        <f>I85*'Pricing Inputs'!$B$24*IF(OR(C85="Prod",C85="Prod/UAT/Dev"),'Pricing Inputs'!$B$31,'Pricing Inputs'!$B$32)</f>
        <v>0</v>
      </c>
      <c r="R85" s="11">
        <f>IF(Y85="Yes",('Pricing Inputs'!$B$25*'Pricing Inputs'!$B$29)+(I85*'Pricing Inputs'!$B$26*'Pricing Inputs'!$B$23),0)</f>
        <v>20.440000000000001</v>
      </c>
      <c r="S85" s="11">
        <f t="shared" si="8"/>
        <v>446.27089999999998</v>
      </c>
      <c r="T85" s="14" t="s">
        <v>308</v>
      </c>
      <c r="U85" s="12" t="s">
        <v>307</v>
      </c>
      <c r="V85" s="12">
        <v>8</v>
      </c>
      <c r="W85" s="12">
        <v>32</v>
      </c>
      <c r="X85" t="s">
        <v>311</v>
      </c>
      <c r="Y85" t="s">
        <v>127</v>
      </c>
      <c r="Z85" t="s">
        <v>134</v>
      </c>
    </row>
    <row r="86" spans="1:26" ht="15" customHeight="1">
      <c r="A86" s="9">
        <v>82</v>
      </c>
      <c r="B86" s="9" t="s">
        <v>312</v>
      </c>
      <c r="C86" s="9" t="s">
        <v>121</v>
      </c>
      <c r="D86" s="9" t="s">
        <v>313</v>
      </c>
      <c r="E86" s="9">
        <v>8</v>
      </c>
      <c r="F86" s="9">
        <v>32</v>
      </c>
      <c r="G86" s="9">
        <v>127</v>
      </c>
      <c r="H86" s="9">
        <v>576</v>
      </c>
      <c r="I86" s="9">
        <f t="shared" si="6"/>
        <v>703</v>
      </c>
      <c r="J86" s="9" t="s">
        <v>131</v>
      </c>
      <c r="K86" s="9" t="s">
        <v>307</v>
      </c>
      <c r="L86" s="9" t="s">
        <v>125</v>
      </c>
      <c r="M86" s="9">
        <f>IF(L86="3-Yr No Upfront",'Pricing Inputs'!$B$29,'Pricing Inputs'!$B$30)</f>
        <v>730</v>
      </c>
      <c r="N86" s="10">
        <f>IF(U86="m7a.2xlarge",IF(L86="3-Yr No Upfront",'Pricing Inputs'!$E$18,'Pricing Inputs'!$D$18),IFERROR(INDEX('Pricing Inputs'!$D$6:$G$14,MATCH(U86,'Pricing Inputs'!$A$6:$A$14,0),IF(L86="3-Yr No Upfront",IF(J86="Windows",4,3),IF(J86="Windows",2,1))),"CHECK"))</f>
        <v>0.58333000000000002</v>
      </c>
      <c r="O86" s="11">
        <f t="shared" si="7"/>
        <v>425.83089999999999</v>
      </c>
      <c r="P86" s="11">
        <f>I86*'Pricing Inputs'!$B$22</f>
        <v>66.925600000000003</v>
      </c>
      <c r="Q86" s="11">
        <f>I86*'Pricing Inputs'!$B$24*IF(OR(C86="Prod",C86="Prod/UAT/Dev"),'Pricing Inputs'!$B$31,'Pricing Inputs'!$B$32)</f>
        <v>52.724999999999994</v>
      </c>
      <c r="R86" s="11">
        <f>IF(Y86="Yes",('Pricing Inputs'!$B$25*'Pricing Inputs'!$B$29)+(I86*'Pricing Inputs'!$B$26*'Pricing Inputs'!$B$23),0)</f>
        <v>32.812799999999996</v>
      </c>
      <c r="S86" s="11">
        <f t="shared" si="8"/>
        <v>578.29430000000002</v>
      </c>
      <c r="T86" s="9"/>
      <c r="U86" s="12" t="s">
        <v>307</v>
      </c>
      <c r="V86" s="12">
        <v>8</v>
      </c>
      <c r="W86" s="12">
        <v>32</v>
      </c>
      <c r="X86" t="s">
        <v>314</v>
      </c>
      <c r="Y86" t="s">
        <v>127</v>
      </c>
      <c r="Z86" t="s">
        <v>134</v>
      </c>
    </row>
    <row r="87" spans="1:26" ht="15" customHeight="1">
      <c r="A87" s="9">
        <v>83</v>
      </c>
      <c r="B87" s="9" t="s">
        <v>315</v>
      </c>
      <c r="C87" s="9" t="s">
        <v>40</v>
      </c>
      <c r="D87" s="9" t="s">
        <v>313</v>
      </c>
      <c r="E87" s="9">
        <v>8</v>
      </c>
      <c r="F87" s="9">
        <v>32</v>
      </c>
      <c r="G87" s="9">
        <v>512</v>
      </c>
      <c r="H87" s="9">
        <v>320</v>
      </c>
      <c r="I87" s="9">
        <f t="shared" si="6"/>
        <v>832</v>
      </c>
      <c r="J87" s="9" t="s">
        <v>131</v>
      </c>
      <c r="K87" s="9" t="s">
        <v>307</v>
      </c>
      <c r="L87" s="9" t="s">
        <v>136</v>
      </c>
      <c r="M87" s="9">
        <f>IF(L87="3-Yr No Upfront",'Pricing Inputs'!$B$29,'Pricing Inputs'!$B$30)</f>
        <v>260</v>
      </c>
      <c r="N87" s="10">
        <f>IF(U87="m7a.2xlarge",IF(L87="3-Yr No Upfront",'Pricing Inputs'!$E$18,'Pricing Inputs'!$D$18),IFERROR(INDEX('Pricing Inputs'!$D$6:$G$14,MATCH(U87,'Pricing Inputs'!$A$6:$A$14,0),IF(L87="3-Yr No Upfront",IF(J87="Windows",4,3),IF(J87="Windows",2,1))),"CHECK"))</f>
        <v>0.39100000000000001</v>
      </c>
      <c r="O87" s="11">
        <f t="shared" si="7"/>
        <v>101.66</v>
      </c>
      <c r="P87" s="11">
        <f>I87*'Pricing Inputs'!$B$22</f>
        <v>79.206400000000002</v>
      </c>
      <c r="Q87" s="11">
        <f>I87*'Pricing Inputs'!$B$24*IF(OR(C87="Prod",C87="Prod/UAT/Dev"),'Pricing Inputs'!$B$31,'Pricing Inputs'!$B$32)</f>
        <v>49.92</v>
      </c>
      <c r="R87" s="11">
        <f>IF(Y87="Yes",('Pricing Inputs'!$B$25*'Pricing Inputs'!$B$29)+(I87*'Pricing Inputs'!$B$26*'Pricing Inputs'!$B$23),0)</f>
        <v>0</v>
      </c>
      <c r="S87" s="11">
        <f t="shared" si="8"/>
        <v>230.78640000000001</v>
      </c>
      <c r="T87" s="9"/>
      <c r="U87" s="13" t="s">
        <v>132</v>
      </c>
      <c r="V87" s="13">
        <v>4</v>
      </c>
      <c r="W87" s="13">
        <v>16</v>
      </c>
      <c r="X87" t="s">
        <v>316</v>
      </c>
      <c r="Y87" t="s">
        <v>138</v>
      </c>
      <c r="Z87" t="s">
        <v>134</v>
      </c>
    </row>
    <row r="88" spans="1:26" ht="15" customHeight="1">
      <c r="A88" s="9">
        <v>84</v>
      </c>
      <c r="B88" s="9" t="s">
        <v>317</v>
      </c>
      <c r="C88" s="9" t="s">
        <v>121</v>
      </c>
      <c r="D88" s="9" t="s">
        <v>318</v>
      </c>
      <c r="E88" s="9">
        <v>8</v>
      </c>
      <c r="F88" s="9">
        <v>32</v>
      </c>
      <c r="G88" s="9">
        <v>127</v>
      </c>
      <c r="H88" s="9">
        <v>512</v>
      </c>
      <c r="I88" s="9">
        <f t="shared" si="6"/>
        <v>639</v>
      </c>
      <c r="J88" s="9" t="s">
        <v>131</v>
      </c>
      <c r="K88" s="9" t="s">
        <v>307</v>
      </c>
      <c r="L88" s="9" t="s">
        <v>125</v>
      </c>
      <c r="M88" s="9">
        <f>IF(L88="3-Yr No Upfront",'Pricing Inputs'!$B$29,'Pricing Inputs'!$B$30)</f>
        <v>730</v>
      </c>
      <c r="N88" s="10">
        <f>IF(U88="m7a.2xlarge",IF(L88="3-Yr No Upfront",'Pricing Inputs'!$E$18,'Pricing Inputs'!$D$18),IFERROR(INDEX('Pricing Inputs'!$D$6:$G$14,MATCH(U88,'Pricing Inputs'!$A$6:$A$14,0),IF(L88="3-Yr No Upfront",IF(J88="Windows",4,3),IF(J88="Windows",2,1))),"CHECK"))</f>
        <v>0.58333000000000002</v>
      </c>
      <c r="O88" s="11">
        <f t="shared" si="7"/>
        <v>425.83089999999999</v>
      </c>
      <c r="P88" s="11">
        <f>I88*'Pricing Inputs'!$B$22</f>
        <v>60.832800000000006</v>
      </c>
      <c r="Q88" s="11">
        <f>I88*'Pricing Inputs'!$B$24*IF(OR(C88="Prod",C88="Prod/UAT/Dev"),'Pricing Inputs'!$B$31,'Pricing Inputs'!$B$32)</f>
        <v>47.925000000000004</v>
      </c>
      <c r="R88" s="11">
        <f>IF(Y88="Yes",('Pricing Inputs'!$B$25*'Pricing Inputs'!$B$29)+(I88*'Pricing Inputs'!$B$26*'Pricing Inputs'!$B$23),0)</f>
        <v>31.686399999999999</v>
      </c>
      <c r="S88" s="11">
        <f t="shared" si="8"/>
        <v>566.27510000000007</v>
      </c>
      <c r="T88" s="9"/>
      <c r="U88" s="12" t="s">
        <v>307</v>
      </c>
      <c r="V88" s="12">
        <v>8</v>
      </c>
      <c r="W88" s="12">
        <v>32</v>
      </c>
      <c r="X88" t="s">
        <v>319</v>
      </c>
      <c r="Y88" t="s">
        <v>127</v>
      </c>
      <c r="Z88" t="s">
        <v>134</v>
      </c>
    </row>
    <row r="89" spans="1:26" ht="15" customHeight="1">
      <c r="A89" s="9">
        <v>85</v>
      </c>
      <c r="B89" s="9" t="s">
        <v>320</v>
      </c>
      <c r="C89" s="9" t="s">
        <v>40</v>
      </c>
      <c r="D89" s="9" t="s">
        <v>130</v>
      </c>
      <c r="E89" s="9">
        <v>4</v>
      </c>
      <c r="F89" s="9">
        <v>16</v>
      </c>
      <c r="G89" s="9">
        <v>127</v>
      </c>
      <c r="H89" s="9">
        <v>512</v>
      </c>
      <c r="I89" s="9">
        <f t="shared" si="6"/>
        <v>639</v>
      </c>
      <c r="J89" s="9" t="s">
        <v>131</v>
      </c>
      <c r="K89" s="9" t="s">
        <v>132</v>
      </c>
      <c r="L89" s="9" t="s">
        <v>136</v>
      </c>
      <c r="M89" s="9">
        <f>IF(L89="3-Yr No Upfront",'Pricing Inputs'!$B$29,'Pricing Inputs'!$B$30)</f>
        <v>260</v>
      </c>
      <c r="N89" s="10">
        <f>IF(U89="m7a.2xlarge",IF(L89="3-Yr No Upfront",'Pricing Inputs'!$E$18,'Pricing Inputs'!$D$18),IFERROR(INDEX('Pricing Inputs'!$D$6:$G$14,MATCH(U89,'Pricing Inputs'!$A$6:$A$14,0),IF(L89="3-Yr No Upfront",IF(J89="Windows",4,3),IF(J89="Windows",2,1))),"CHECK"))</f>
        <v>0.39100000000000001</v>
      </c>
      <c r="O89" s="11">
        <f t="shared" si="7"/>
        <v>101.66</v>
      </c>
      <c r="P89" s="11">
        <f>I89*'Pricing Inputs'!$B$22</f>
        <v>60.832800000000006</v>
      </c>
      <c r="Q89" s="11">
        <f>I89*'Pricing Inputs'!$B$24*IF(OR(C89="Prod",C89="Prod/UAT/Dev"),'Pricing Inputs'!$B$31,'Pricing Inputs'!$B$32)</f>
        <v>38.340000000000003</v>
      </c>
      <c r="R89" s="11">
        <f>IF(Y89="Yes",('Pricing Inputs'!$B$25*'Pricing Inputs'!$B$29)+(I89*'Pricing Inputs'!$B$26*'Pricing Inputs'!$B$23),0)</f>
        <v>0</v>
      </c>
      <c r="S89" s="11">
        <f t="shared" si="8"/>
        <v>200.83279999999999</v>
      </c>
      <c r="T89" s="9"/>
      <c r="U89" s="12" t="s">
        <v>132</v>
      </c>
      <c r="V89" s="12">
        <v>4</v>
      </c>
      <c r="W89" s="12">
        <v>16</v>
      </c>
      <c r="X89" t="s">
        <v>321</v>
      </c>
      <c r="Y89" t="s">
        <v>138</v>
      </c>
      <c r="Z89" t="s">
        <v>134</v>
      </c>
    </row>
    <row r="90" spans="1:26" ht="15" customHeight="1">
      <c r="A90" s="9">
        <v>86</v>
      </c>
      <c r="B90" s="9" t="s">
        <v>322</v>
      </c>
      <c r="C90" s="9" t="s">
        <v>42</v>
      </c>
      <c r="D90" s="9" t="s">
        <v>130</v>
      </c>
      <c r="E90" s="9">
        <v>4</v>
      </c>
      <c r="F90" s="9">
        <v>16</v>
      </c>
      <c r="G90" s="9">
        <v>100</v>
      </c>
      <c r="H90" s="9">
        <v>75</v>
      </c>
      <c r="I90" s="9">
        <f t="shared" si="6"/>
        <v>175</v>
      </c>
      <c r="J90" s="9" t="s">
        <v>131</v>
      </c>
      <c r="K90" s="9" t="s">
        <v>132</v>
      </c>
      <c r="L90" s="9" t="s">
        <v>136</v>
      </c>
      <c r="M90" s="9">
        <f>IF(L90="3-Yr No Upfront",'Pricing Inputs'!$B$29,'Pricing Inputs'!$B$30)</f>
        <v>260</v>
      </c>
      <c r="N90" s="10">
        <f>IF(U90="m7a.2xlarge",IF(L90="3-Yr No Upfront",'Pricing Inputs'!$E$18,'Pricing Inputs'!$D$18),IFERROR(INDEX('Pricing Inputs'!$D$6:$G$14,MATCH(U90,'Pricing Inputs'!$A$6:$A$14,0),IF(L90="3-Yr No Upfront",IF(J90="Windows",4,3),IF(J90="Windows",2,1))),"CHECK"))</f>
        <v>0.39100000000000001</v>
      </c>
      <c r="O90" s="11">
        <f t="shared" si="7"/>
        <v>101.66</v>
      </c>
      <c r="P90" s="11">
        <f>I90*'Pricing Inputs'!$B$22</f>
        <v>16.66</v>
      </c>
      <c r="Q90" s="11">
        <f>I90*'Pricing Inputs'!$B$24*IF(OR(C90="Prod",C90="Prod/UAT/Dev"),'Pricing Inputs'!$B$31,'Pricing Inputs'!$B$32)</f>
        <v>10.5</v>
      </c>
      <c r="R90" s="11">
        <f>IF(Y90="Yes",('Pricing Inputs'!$B$25*'Pricing Inputs'!$B$29)+(I90*'Pricing Inputs'!$B$26*'Pricing Inputs'!$B$23),0)</f>
        <v>0</v>
      </c>
      <c r="S90" s="11">
        <f t="shared" si="8"/>
        <v>128.82</v>
      </c>
      <c r="T90" s="9"/>
      <c r="U90" s="12" t="s">
        <v>132</v>
      </c>
      <c r="V90" s="12">
        <v>4</v>
      </c>
      <c r="W90" s="12">
        <v>16</v>
      </c>
      <c r="X90" t="s">
        <v>323</v>
      </c>
      <c r="Y90" t="s">
        <v>138</v>
      </c>
      <c r="Z90" t="s">
        <v>134</v>
      </c>
    </row>
    <row r="91" spans="1:26" ht="15" customHeight="1">
      <c r="A91" s="9">
        <v>87</v>
      </c>
      <c r="B91" s="9" t="s">
        <v>324</v>
      </c>
      <c r="C91" s="9" t="s">
        <v>40</v>
      </c>
      <c r="D91" s="9" t="s">
        <v>130</v>
      </c>
      <c r="E91" s="9">
        <v>4</v>
      </c>
      <c r="F91" s="9">
        <v>16</v>
      </c>
      <c r="G91" s="9">
        <v>127</v>
      </c>
      <c r="H91" s="9">
        <v>128</v>
      </c>
      <c r="I91" s="9">
        <f t="shared" si="6"/>
        <v>255</v>
      </c>
      <c r="J91" s="9" t="s">
        <v>131</v>
      </c>
      <c r="K91" s="9" t="s">
        <v>132</v>
      </c>
      <c r="L91" s="9" t="s">
        <v>136</v>
      </c>
      <c r="M91" s="9">
        <f>IF(L91="3-Yr No Upfront",'Pricing Inputs'!$B$29,'Pricing Inputs'!$B$30)</f>
        <v>260</v>
      </c>
      <c r="N91" s="10">
        <f>IF(U91="m7a.2xlarge",IF(L91="3-Yr No Upfront",'Pricing Inputs'!$E$18,'Pricing Inputs'!$D$18),IFERROR(INDEX('Pricing Inputs'!$D$6:$G$14,MATCH(U91,'Pricing Inputs'!$A$6:$A$14,0),IF(L91="3-Yr No Upfront",IF(J91="Windows",4,3),IF(J91="Windows",2,1))),"CHECK"))</f>
        <v>0.39100000000000001</v>
      </c>
      <c r="O91" s="11">
        <f t="shared" si="7"/>
        <v>101.66</v>
      </c>
      <c r="P91" s="11">
        <f>I91*'Pricing Inputs'!$B$22</f>
        <v>24.276000000000003</v>
      </c>
      <c r="Q91" s="11">
        <f>I91*'Pricing Inputs'!$B$24*IF(OR(C91="Prod",C91="Prod/UAT/Dev"),'Pricing Inputs'!$B$31,'Pricing Inputs'!$B$32)</f>
        <v>15.299999999999999</v>
      </c>
      <c r="R91" s="11">
        <f>IF(Y91="Yes",('Pricing Inputs'!$B$25*'Pricing Inputs'!$B$29)+(I91*'Pricing Inputs'!$B$26*'Pricing Inputs'!$B$23),0)</f>
        <v>0</v>
      </c>
      <c r="S91" s="11">
        <f t="shared" si="8"/>
        <v>141.23600000000002</v>
      </c>
      <c r="T91" s="9"/>
      <c r="U91" s="12" t="s">
        <v>132</v>
      </c>
      <c r="V91" s="12">
        <v>4</v>
      </c>
      <c r="W91" s="12">
        <v>16</v>
      </c>
      <c r="X91" t="s">
        <v>325</v>
      </c>
      <c r="Y91" t="s">
        <v>138</v>
      </c>
      <c r="Z91" t="s">
        <v>134</v>
      </c>
    </row>
    <row r="92" spans="1:26" ht="15" customHeight="1">
      <c r="A92" s="9">
        <v>88</v>
      </c>
      <c r="B92" s="9" t="s">
        <v>326</v>
      </c>
      <c r="C92" s="9" t="s">
        <v>121</v>
      </c>
      <c r="D92" s="9" t="s">
        <v>130</v>
      </c>
      <c r="E92" s="9">
        <v>4</v>
      </c>
      <c r="F92" s="9">
        <v>16</v>
      </c>
      <c r="G92" s="9">
        <v>127</v>
      </c>
      <c r="H92" s="9">
        <v>128</v>
      </c>
      <c r="I92" s="9">
        <f t="shared" si="6"/>
        <v>255</v>
      </c>
      <c r="J92" s="9" t="s">
        <v>131</v>
      </c>
      <c r="K92" s="9" t="s">
        <v>132</v>
      </c>
      <c r="L92" s="9" t="s">
        <v>125</v>
      </c>
      <c r="M92" s="9">
        <f>IF(L92="3-Yr No Upfront",'Pricing Inputs'!$B$29,'Pricing Inputs'!$B$30)</f>
        <v>730</v>
      </c>
      <c r="N92" s="10">
        <f>IF(U92="m7a.2xlarge",IF(L92="3-Yr No Upfront",'Pricing Inputs'!$E$18,'Pricing Inputs'!$D$18),IFERROR(INDEX('Pricing Inputs'!$D$6:$G$14,MATCH(U92,'Pricing Inputs'!$A$6:$A$14,0),IF(L92="3-Yr No Upfront",IF(J92="Windows",4,3),IF(J92="Windows",2,1))),"CHECK"))</f>
        <v>0.29166999999999998</v>
      </c>
      <c r="O92" s="11">
        <f t="shared" si="7"/>
        <v>212.91909999999999</v>
      </c>
      <c r="P92" s="11">
        <f>I92*'Pricing Inputs'!$B$22</f>
        <v>24.276000000000003</v>
      </c>
      <c r="Q92" s="11">
        <f>I92*'Pricing Inputs'!$B$24*IF(OR(C92="Prod",C92="Prod/UAT/Dev"),'Pricing Inputs'!$B$31,'Pricing Inputs'!$B$32)</f>
        <v>19.125</v>
      </c>
      <c r="R92" s="11">
        <f>IF(Y92="Yes",('Pricing Inputs'!$B$25*'Pricing Inputs'!$B$29)+(I92*'Pricing Inputs'!$B$26*'Pricing Inputs'!$B$23),0)</f>
        <v>24.928000000000001</v>
      </c>
      <c r="S92" s="11">
        <f t="shared" si="8"/>
        <v>281.24810000000002</v>
      </c>
      <c r="T92" s="9"/>
      <c r="U92" s="12" t="s">
        <v>132</v>
      </c>
      <c r="V92" s="12">
        <v>4</v>
      </c>
      <c r="W92" s="12">
        <v>16</v>
      </c>
      <c r="X92" t="s">
        <v>327</v>
      </c>
      <c r="Y92" t="s">
        <v>127</v>
      </c>
      <c r="Z92" t="s">
        <v>134</v>
      </c>
    </row>
    <row r="93" spans="1:26" ht="15" customHeight="1">
      <c r="A93" s="9">
        <v>89</v>
      </c>
      <c r="B93" s="9" t="s">
        <v>328</v>
      </c>
      <c r="C93" s="9" t="s">
        <v>121</v>
      </c>
      <c r="D93" s="9" t="s">
        <v>130</v>
      </c>
      <c r="E93" s="9">
        <v>4</v>
      </c>
      <c r="F93" s="9">
        <v>16</v>
      </c>
      <c r="G93" s="9">
        <v>127</v>
      </c>
      <c r="H93" s="9">
        <v>128</v>
      </c>
      <c r="I93" s="9">
        <f t="shared" si="6"/>
        <v>255</v>
      </c>
      <c r="J93" s="9" t="s">
        <v>131</v>
      </c>
      <c r="K93" s="9" t="s">
        <v>132</v>
      </c>
      <c r="L93" s="9" t="s">
        <v>125</v>
      </c>
      <c r="M93" s="9">
        <f>IF(L93="3-Yr No Upfront",'Pricing Inputs'!$B$29,'Pricing Inputs'!$B$30)</f>
        <v>730</v>
      </c>
      <c r="N93" s="10">
        <f>IF(U93="m7a.2xlarge",IF(L93="3-Yr No Upfront",'Pricing Inputs'!$E$18,'Pricing Inputs'!$D$18),IFERROR(INDEX('Pricing Inputs'!$D$6:$G$14,MATCH(U93,'Pricing Inputs'!$A$6:$A$14,0),IF(L93="3-Yr No Upfront",IF(J93="Windows",4,3),IF(J93="Windows",2,1))),"CHECK"))</f>
        <v>0.29166999999999998</v>
      </c>
      <c r="O93" s="11">
        <f t="shared" si="7"/>
        <v>212.91909999999999</v>
      </c>
      <c r="P93" s="11">
        <f>I93*'Pricing Inputs'!$B$22</f>
        <v>24.276000000000003</v>
      </c>
      <c r="Q93" s="11">
        <f>I93*'Pricing Inputs'!$B$24*IF(OR(C93="Prod",C93="Prod/UAT/Dev"),'Pricing Inputs'!$B$31,'Pricing Inputs'!$B$32)</f>
        <v>19.125</v>
      </c>
      <c r="R93" s="11">
        <f>IF(Y93="Yes",('Pricing Inputs'!$B$25*'Pricing Inputs'!$B$29)+(I93*'Pricing Inputs'!$B$26*'Pricing Inputs'!$B$23),0)</f>
        <v>24.928000000000001</v>
      </c>
      <c r="S93" s="11">
        <f t="shared" si="8"/>
        <v>281.24810000000002</v>
      </c>
      <c r="T93" s="9"/>
      <c r="U93" s="12" t="s">
        <v>132</v>
      </c>
      <c r="V93" s="12">
        <v>4</v>
      </c>
      <c r="W93" s="12">
        <v>16</v>
      </c>
      <c r="X93" t="s">
        <v>329</v>
      </c>
      <c r="Y93" t="s">
        <v>127</v>
      </c>
      <c r="Z93" t="s">
        <v>134</v>
      </c>
    </row>
    <row r="94" spans="1:26" ht="15" customHeight="1">
      <c r="A94" s="9">
        <v>90</v>
      </c>
      <c r="B94" s="9" t="s">
        <v>330</v>
      </c>
      <c r="C94" s="9" t="s">
        <v>121</v>
      </c>
      <c r="D94" s="9" t="s">
        <v>331</v>
      </c>
      <c r="E94" s="9">
        <v>8</v>
      </c>
      <c r="F94" s="9">
        <v>16</v>
      </c>
      <c r="G94" s="9">
        <v>127</v>
      </c>
      <c r="H94" s="9">
        <v>256</v>
      </c>
      <c r="I94" s="9">
        <f t="shared" si="6"/>
        <v>383</v>
      </c>
      <c r="J94" s="9" t="s">
        <v>131</v>
      </c>
      <c r="K94" s="9" t="s">
        <v>214</v>
      </c>
      <c r="L94" s="9" t="s">
        <v>125</v>
      </c>
      <c r="M94" s="9">
        <f>IF(L94="3-Yr No Upfront",'Pricing Inputs'!$B$29,'Pricing Inputs'!$B$30)</f>
        <v>730</v>
      </c>
      <c r="N94" s="10">
        <f>IF(U94="m7a.2xlarge",IF(L94="3-Yr No Upfront",'Pricing Inputs'!$E$18,'Pricing Inputs'!$D$18),IFERROR(INDEX('Pricing Inputs'!$D$6:$G$14,MATCH(U94,'Pricing Inputs'!$A$6:$A$14,0),IF(L94="3-Yr No Upfront",IF(J94="Windows",4,3),IF(J94="Windows",2,1))),"CHECK"))</f>
        <v>0.54918</v>
      </c>
      <c r="O94" s="11">
        <f t="shared" si="7"/>
        <v>400.90140000000002</v>
      </c>
      <c r="P94" s="11">
        <f>I94*'Pricing Inputs'!$B$22</f>
        <v>36.461600000000004</v>
      </c>
      <c r="Q94" s="11">
        <f>I94*'Pricing Inputs'!$B$24*IF(OR(C94="Prod",C94="Prod/UAT/Dev"),'Pricing Inputs'!$B$31,'Pricing Inputs'!$B$32)</f>
        <v>28.725000000000001</v>
      </c>
      <c r="R94" s="11">
        <f>IF(Y94="Yes",('Pricing Inputs'!$B$25*'Pricing Inputs'!$B$29)+(I94*'Pricing Inputs'!$B$26*'Pricing Inputs'!$B$23),0)</f>
        <v>27.180800000000001</v>
      </c>
      <c r="S94" s="11">
        <f t="shared" si="8"/>
        <v>493.26880000000006</v>
      </c>
      <c r="T94" s="9"/>
      <c r="U94" s="12" t="s">
        <v>214</v>
      </c>
      <c r="V94" s="12">
        <v>8</v>
      </c>
      <c r="W94" s="12">
        <v>16</v>
      </c>
      <c r="X94" t="s">
        <v>332</v>
      </c>
      <c r="Y94" t="s">
        <v>127</v>
      </c>
      <c r="Z94" t="s">
        <v>134</v>
      </c>
    </row>
    <row r="95" spans="1:26" ht="15" customHeight="1">
      <c r="A95" s="9">
        <v>91</v>
      </c>
      <c r="B95" s="9" t="s">
        <v>333</v>
      </c>
      <c r="C95" s="9" t="s">
        <v>121</v>
      </c>
      <c r="D95" s="9" t="s">
        <v>298</v>
      </c>
      <c r="E95" s="9">
        <v>4</v>
      </c>
      <c r="F95" s="9">
        <v>16</v>
      </c>
      <c r="G95" s="9">
        <v>127</v>
      </c>
      <c r="H95" s="9">
        <v>0</v>
      </c>
      <c r="I95" s="9">
        <f t="shared" si="6"/>
        <v>127</v>
      </c>
      <c r="J95" s="9" t="s">
        <v>131</v>
      </c>
      <c r="K95" s="9" t="s">
        <v>132</v>
      </c>
      <c r="L95" s="9" t="s">
        <v>125</v>
      </c>
      <c r="M95" s="9">
        <f>IF(L95="3-Yr No Upfront",'Pricing Inputs'!$B$29,'Pricing Inputs'!$B$30)</f>
        <v>730</v>
      </c>
      <c r="N95" s="10">
        <f>IF(U95="m7a.2xlarge",IF(L95="3-Yr No Upfront",'Pricing Inputs'!$E$18,'Pricing Inputs'!$D$18),IFERROR(INDEX('Pricing Inputs'!$D$6:$G$14,MATCH(U95,'Pricing Inputs'!$A$6:$A$14,0),IF(L95="3-Yr No Upfront",IF(J95="Windows",4,3),IF(J95="Windows",2,1))),"CHECK"))</f>
        <v>0.14582999999999999</v>
      </c>
      <c r="O95" s="11">
        <f t="shared" si="7"/>
        <v>106.45589999999999</v>
      </c>
      <c r="P95" s="11">
        <f>I95*'Pricing Inputs'!$B$22</f>
        <v>12.090400000000001</v>
      </c>
      <c r="Q95" s="11">
        <f>I95*'Pricing Inputs'!$B$24*IF(OR(C95="Prod",C95="Prod/UAT/Dev"),'Pricing Inputs'!$B$31,'Pricing Inputs'!$B$32)</f>
        <v>9.5250000000000004</v>
      </c>
      <c r="R95" s="11">
        <f>IF(Y95="Yes",('Pricing Inputs'!$B$25*'Pricing Inputs'!$B$29)+(I95*'Pricing Inputs'!$B$26*'Pricing Inputs'!$B$23),0)</f>
        <v>22.6752</v>
      </c>
      <c r="S95" s="11">
        <f t="shared" si="8"/>
        <v>150.74649999999997</v>
      </c>
      <c r="T95" s="9"/>
      <c r="U95" s="13" t="s">
        <v>124</v>
      </c>
      <c r="V95" s="13">
        <v>2</v>
      </c>
      <c r="W95" s="13">
        <v>8</v>
      </c>
      <c r="X95" t="s">
        <v>334</v>
      </c>
      <c r="Y95" t="s">
        <v>127</v>
      </c>
      <c r="Z95" t="s">
        <v>134</v>
      </c>
    </row>
    <row r="96" spans="1:26" ht="15" customHeight="1">
      <c r="A96" s="9">
        <v>92</v>
      </c>
      <c r="B96" s="9" t="s">
        <v>335</v>
      </c>
      <c r="C96" s="9" t="s">
        <v>42</v>
      </c>
      <c r="D96" s="9" t="s">
        <v>130</v>
      </c>
      <c r="E96" s="9">
        <v>4</v>
      </c>
      <c r="F96" s="9">
        <v>16</v>
      </c>
      <c r="G96" s="9">
        <v>256</v>
      </c>
      <c r="H96" s="9">
        <v>0</v>
      </c>
      <c r="I96" s="9">
        <f t="shared" si="6"/>
        <v>256</v>
      </c>
      <c r="J96" s="9" t="s">
        <v>131</v>
      </c>
      <c r="K96" s="9" t="s">
        <v>132</v>
      </c>
      <c r="L96" s="9" t="s">
        <v>136</v>
      </c>
      <c r="M96" s="9">
        <f>IF(L96="3-Yr No Upfront",'Pricing Inputs'!$B$29,'Pricing Inputs'!$B$30)</f>
        <v>260</v>
      </c>
      <c r="N96" s="10">
        <f>IF(U96="m7a.2xlarge",IF(L96="3-Yr No Upfront",'Pricing Inputs'!$E$18,'Pricing Inputs'!$D$18),IFERROR(INDEX('Pricing Inputs'!$D$6:$G$14,MATCH(U96,'Pricing Inputs'!$A$6:$A$14,0),IF(L96="3-Yr No Upfront",IF(J96="Windows",4,3),IF(J96="Windows",2,1))),"CHECK"))</f>
        <v>0.39100000000000001</v>
      </c>
      <c r="O96" s="11">
        <f t="shared" si="7"/>
        <v>101.66</v>
      </c>
      <c r="P96" s="11">
        <f>I96*'Pricing Inputs'!$B$22</f>
        <v>24.371200000000002</v>
      </c>
      <c r="Q96" s="11">
        <f>I96*'Pricing Inputs'!$B$24*IF(OR(C96="Prod",C96="Prod/UAT/Dev"),'Pricing Inputs'!$B$31,'Pricing Inputs'!$B$32)</f>
        <v>15.36</v>
      </c>
      <c r="R96" s="11">
        <f>IF(Y96="Yes",('Pricing Inputs'!$B$25*'Pricing Inputs'!$B$29)+(I96*'Pricing Inputs'!$B$26*'Pricing Inputs'!$B$23),0)</f>
        <v>0</v>
      </c>
      <c r="S96" s="11">
        <f t="shared" si="8"/>
        <v>141.3912</v>
      </c>
      <c r="T96" s="9"/>
      <c r="U96" s="12" t="s">
        <v>132</v>
      </c>
      <c r="V96" s="12">
        <v>4</v>
      </c>
      <c r="W96" s="12">
        <v>16</v>
      </c>
      <c r="X96" t="s">
        <v>336</v>
      </c>
      <c r="Y96" t="s">
        <v>138</v>
      </c>
      <c r="Z96" t="s">
        <v>134</v>
      </c>
    </row>
    <row r="97" spans="1:26" ht="15" customHeight="1">
      <c r="A97" s="9">
        <v>93</v>
      </c>
      <c r="B97" s="9" t="s">
        <v>337</v>
      </c>
      <c r="C97" s="9" t="s">
        <v>42</v>
      </c>
      <c r="D97" s="9" t="s">
        <v>130</v>
      </c>
      <c r="E97" s="9">
        <v>4</v>
      </c>
      <c r="F97" s="9">
        <v>16</v>
      </c>
      <c r="G97" s="9">
        <v>256</v>
      </c>
      <c r="H97" s="9">
        <v>0</v>
      </c>
      <c r="I97" s="9">
        <f t="shared" si="6"/>
        <v>256</v>
      </c>
      <c r="J97" s="9" t="s">
        <v>131</v>
      </c>
      <c r="K97" s="9" t="s">
        <v>132</v>
      </c>
      <c r="L97" s="9" t="s">
        <v>136</v>
      </c>
      <c r="M97" s="9">
        <f>IF(L97="3-Yr No Upfront",'Pricing Inputs'!$B$29,'Pricing Inputs'!$B$30)</f>
        <v>260</v>
      </c>
      <c r="N97" s="10">
        <f>IF(U97="m7a.2xlarge",IF(L97="3-Yr No Upfront",'Pricing Inputs'!$E$18,'Pricing Inputs'!$D$18),IFERROR(INDEX('Pricing Inputs'!$D$6:$G$14,MATCH(U97,'Pricing Inputs'!$A$6:$A$14,0),IF(L97="3-Yr No Upfront",IF(J97="Windows",4,3),IF(J97="Windows",2,1))),"CHECK"))</f>
        <v>0.39100000000000001</v>
      </c>
      <c r="O97" s="11">
        <f t="shared" si="7"/>
        <v>101.66</v>
      </c>
      <c r="P97" s="11">
        <f>I97*'Pricing Inputs'!$B$22</f>
        <v>24.371200000000002</v>
      </c>
      <c r="Q97" s="11">
        <f>I97*'Pricing Inputs'!$B$24*IF(OR(C97="Prod",C97="Prod/UAT/Dev"),'Pricing Inputs'!$B$31,'Pricing Inputs'!$B$32)</f>
        <v>15.36</v>
      </c>
      <c r="R97" s="11">
        <f>IF(Y97="Yes",('Pricing Inputs'!$B$25*'Pricing Inputs'!$B$29)+(I97*'Pricing Inputs'!$B$26*'Pricing Inputs'!$B$23),0)</f>
        <v>0</v>
      </c>
      <c r="S97" s="11">
        <f t="shared" si="8"/>
        <v>141.3912</v>
      </c>
      <c r="T97" s="9"/>
      <c r="U97" s="12" t="s">
        <v>132</v>
      </c>
      <c r="V97" s="12">
        <v>4</v>
      </c>
      <c r="W97" s="12">
        <v>16</v>
      </c>
      <c r="X97" t="s">
        <v>338</v>
      </c>
      <c r="Y97" t="s">
        <v>138</v>
      </c>
      <c r="Z97" t="s">
        <v>134</v>
      </c>
    </row>
    <row r="98" spans="1:26" ht="15" customHeight="1">
      <c r="A98" s="9">
        <v>94</v>
      </c>
      <c r="B98" s="9" t="s">
        <v>339</v>
      </c>
      <c r="C98" s="9" t="s">
        <v>42</v>
      </c>
      <c r="D98" s="9" t="s">
        <v>130</v>
      </c>
      <c r="E98" s="9">
        <v>4</v>
      </c>
      <c r="F98" s="9">
        <v>16</v>
      </c>
      <c r="G98" s="9">
        <v>256</v>
      </c>
      <c r="H98" s="9">
        <v>0</v>
      </c>
      <c r="I98" s="9">
        <f t="shared" si="6"/>
        <v>256</v>
      </c>
      <c r="J98" s="9" t="s">
        <v>131</v>
      </c>
      <c r="K98" s="9" t="s">
        <v>132</v>
      </c>
      <c r="L98" s="9" t="s">
        <v>136</v>
      </c>
      <c r="M98" s="9">
        <f>IF(L98="3-Yr No Upfront",'Pricing Inputs'!$B$29,'Pricing Inputs'!$B$30)</f>
        <v>260</v>
      </c>
      <c r="N98" s="10">
        <f>IF(U98="m7a.2xlarge",IF(L98="3-Yr No Upfront",'Pricing Inputs'!$E$18,'Pricing Inputs'!$D$18),IFERROR(INDEX('Pricing Inputs'!$D$6:$G$14,MATCH(U98,'Pricing Inputs'!$A$6:$A$14,0),IF(L98="3-Yr No Upfront",IF(J98="Windows",4,3),IF(J98="Windows",2,1))),"CHECK"))</f>
        <v>0.39100000000000001</v>
      </c>
      <c r="O98" s="11">
        <f t="shared" si="7"/>
        <v>101.66</v>
      </c>
      <c r="P98" s="11">
        <f>I98*'Pricing Inputs'!$B$22</f>
        <v>24.371200000000002</v>
      </c>
      <c r="Q98" s="11">
        <f>I98*'Pricing Inputs'!$B$24*IF(OR(C98="Prod",C98="Prod/UAT/Dev"),'Pricing Inputs'!$B$31,'Pricing Inputs'!$B$32)</f>
        <v>15.36</v>
      </c>
      <c r="R98" s="11">
        <f>IF(Y98="Yes",('Pricing Inputs'!$B$25*'Pricing Inputs'!$B$29)+(I98*'Pricing Inputs'!$B$26*'Pricing Inputs'!$B$23),0)</f>
        <v>0</v>
      </c>
      <c r="S98" s="11">
        <f t="shared" si="8"/>
        <v>141.3912</v>
      </c>
      <c r="T98" s="9"/>
      <c r="U98" s="12" t="s">
        <v>132</v>
      </c>
      <c r="V98" s="12">
        <v>4</v>
      </c>
      <c r="W98" s="12">
        <v>16</v>
      </c>
      <c r="X98" t="s">
        <v>340</v>
      </c>
      <c r="Y98" t="s">
        <v>138</v>
      </c>
      <c r="Z98" t="s">
        <v>134</v>
      </c>
    </row>
    <row r="99" spans="1:26" ht="15" customHeight="1">
      <c r="A99" s="9">
        <v>95</v>
      </c>
      <c r="B99" s="9" t="s">
        <v>341</v>
      </c>
      <c r="C99" s="9" t="s">
        <v>40</v>
      </c>
      <c r="D99" s="9" t="s">
        <v>130</v>
      </c>
      <c r="E99" s="9">
        <v>4</v>
      </c>
      <c r="F99" s="9">
        <v>16</v>
      </c>
      <c r="G99" s="9">
        <v>256</v>
      </c>
      <c r="H99" s="9">
        <v>0</v>
      </c>
      <c r="I99" s="9">
        <f t="shared" si="6"/>
        <v>256</v>
      </c>
      <c r="J99" s="9" t="s">
        <v>131</v>
      </c>
      <c r="K99" s="9" t="s">
        <v>132</v>
      </c>
      <c r="L99" s="9" t="s">
        <v>136</v>
      </c>
      <c r="M99" s="9">
        <f>IF(L99="3-Yr No Upfront",'Pricing Inputs'!$B$29,'Pricing Inputs'!$B$30)</f>
        <v>260</v>
      </c>
      <c r="N99" s="10">
        <f>IF(U99="m7a.2xlarge",IF(L99="3-Yr No Upfront",'Pricing Inputs'!$E$18,'Pricing Inputs'!$D$18),IFERROR(INDEX('Pricing Inputs'!$D$6:$G$14,MATCH(U99,'Pricing Inputs'!$A$6:$A$14,0),IF(L99="3-Yr No Upfront",IF(J99="Windows",4,3),IF(J99="Windows",2,1))),"CHECK"))</f>
        <v>0.39100000000000001</v>
      </c>
      <c r="O99" s="11">
        <f t="shared" si="7"/>
        <v>101.66</v>
      </c>
      <c r="P99" s="11">
        <f>I99*'Pricing Inputs'!$B$22</f>
        <v>24.371200000000002</v>
      </c>
      <c r="Q99" s="11">
        <f>I99*'Pricing Inputs'!$B$24*IF(OR(C99="Prod",C99="Prod/UAT/Dev"),'Pricing Inputs'!$B$31,'Pricing Inputs'!$B$32)</f>
        <v>15.36</v>
      </c>
      <c r="R99" s="11">
        <f>IF(Y99="Yes",('Pricing Inputs'!$B$25*'Pricing Inputs'!$B$29)+(I99*'Pricing Inputs'!$B$26*'Pricing Inputs'!$B$23),0)</f>
        <v>0</v>
      </c>
      <c r="S99" s="11">
        <f t="shared" si="8"/>
        <v>141.3912</v>
      </c>
      <c r="T99" s="9"/>
      <c r="U99" s="12" t="s">
        <v>132</v>
      </c>
      <c r="V99" s="12">
        <v>4</v>
      </c>
      <c r="W99" s="12">
        <v>16</v>
      </c>
      <c r="X99" t="s">
        <v>342</v>
      </c>
      <c r="Y99" t="s">
        <v>138</v>
      </c>
      <c r="Z99" t="s">
        <v>134</v>
      </c>
    </row>
    <row r="100" spans="1:26" ht="15" customHeight="1">
      <c r="A100" s="9">
        <v>96</v>
      </c>
      <c r="B100" s="9" t="s">
        <v>343</v>
      </c>
      <c r="C100" s="9" t="s">
        <v>121</v>
      </c>
      <c r="D100" s="9" t="s">
        <v>130</v>
      </c>
      <c r="E100" s="9">
        <v>4</v>
      </c>
      <c r="F100" s="9">
        <v>16</v>
      </c>
      <c r="G100" s="9">
        <v>256</v>
      </c>
      <c r="H100" s="9">
        <v>0</v>
      </c>
      <c r="I100" s="9">
        <f t="shared" si="6"/>
        <v>256</v>
      </c>
      <c r="J100" s="9" t="s">
        <v>131</v>
      </c>
      <c r="K100" s="9" t="s">
        <v>132</v>
      </c>
      <c r="L100" s="9" t="s">
        <v>125</v>
      </c>
      <c r="M100" s="9">
        <f>IF(L100="3-Yr No Upfront",'Pricing Inputs'!$B$29,'Pricing Inputs'!$B$30)</f>
        <v>730</v>
      </c>
      <c r="N100" s="10">
        <f>IF(U100="m7a.2xlarge",IF(L100="3-Yr No Upfront",'Pricing Inputs'!$E$18,'Pricing Inputs'!$D$18),IFERROR(INDEX('Pricing Inputs'!$D$6:$G$14,MATCH(U100,'Pricing Inputs'!$A$6:$A$14,0),IF(L100="3-Yr No Upfront",IF(J100="Windows",4,3),IF(J100="Windows",2,1))),"CHECK"))</f>
        <v>0.29166999999999998</v>
      </c>
      <c r="O100" s="11">
        <f t="shared" si="7"/>
        <v>212.91909999999999</v>
      </c>
      <c r="P100" s="11">
        <f>I100*'Pricing Inputs'!$B$22</f>
        <v>24.371200000000002</v>
      </c>
      <c r="Q100" s="11">
        <f>I100*'Pricing Inputs'!$B$24*IF(OR(C100="Prod",C100="Prod/UAT/Dev"),'Pricing Inputs'!$B$31,'Pricing Inputs'!$B$32)</f>
        <v>19.200000000000003</v>
      </c>
      <c r="R100" s="11">
        <f>IF(Y100="Yes",('Pricing Inputs'!$B$25*'Pricing Inputs'!$B$29)+(I100*'Pricing Inputs'!$B$26*'Pricing Inputs'!$B$23),0)</f>
        <v>24.945600000000002</v>
      </c>
      <c r="S100" s="11">
        <f t="shared" si="8"/>
        <v>281.4359</v>
      </c>
      <c r="T100" s="9"/>
      <c r="U100" s="12" t="s">
        <v>132</v>
      </c>
      <c r="V100" s="12">
        <v>4</v>
      </c>
      <c r="W100" s="12">
        <v>16</v>
      </c>
      <c r="X100" t="s">
        <v>344</v>
      </c>
      <c r="Y100" t="s">
        <v>127</v>
      </c>
      <c r="Z100" t="s">
        <v>134</v>
      </c>
    </row>
    <row r="101" spans="1:26" ht="15" customHeight="1">
      <c r="A101" s="9">
        <v>97</v>
      </c>
      <c r="B101" s="9" t="s">
        <v>345</v>
      </c>
      <c r="C101" s="9" t="s">
        <v>121</v>
      </c>
      <c r="D101" s="9" t="s">
        <v>130</v>
      </c>
      <c r="E101" s="9">
        <v>4</v>
      </c>
      <c r="F101" s="9">
        <v>16</v>
      </c>
      <c r="G101" s="9">
        <v>256</v>
      </c>
      <c r="H101" s="9">
        <v>0</v>
      </c>
      <c r="I101" s="9">
        <f t="shared" ref="I101:I132" si="9">G101+H101</f>
        <v>256</v>
      </c>
      <c r="J101" s="9" t="s">
        <v>131</v>
      </c>
      <c r="K101" s="9" t="s">
        <v>132</v>
      </c>
      <c r="L101" s="9" t="s">
        <v>125</v>
      </c>
      <c r="M101" s="9">
        <f>IF(L101="3-Yr No Upfront",'Pricing Inputs'!$B$29,'Pricing Inputs'!$B$30)</f>
        <v>730</v>
      </c>
      <c r="N101" s="10">
        <f>IF(U101="m7a.2xlarge",IF(L101="3-Yr No Upfront",'Pricing Inputs'!$E$18,'Pricing Inputs'!$D$18),IFERROR(INDEX('Pricing Inputs'!$D$6:$G$14,MATCH(U101,'Pricing Inputs'!$A$6:$A$14,0),IF(L101="3-Yr No Upfront",IF(J101="Windows",4,3),IF(J101="Windows",2,1))),"CHECK"))</f>
        <v>0.29166999999999998</v>
      </c>
      <c r="O101" s="11">
        <f t="shared" ref="O101:O132" si="10">M101*N101</f>
        <v>212.91909999999999</v>
      </c>
      <c r="P101" s="11">
        <f>I101*'Pricing Inputs'!$B$22</f>
        <v>24.371200000000002</v>
      </c>
      <c r="Q101" s="11">
        <f>I101*'Pricing Inputs'!$B$24*IF(OR(C101="Prod",C101="Prod/UAT/Dev"),'Pricing Inputs'!$B$31,'Pricing Inputs'!$B$32)</f>
        <v>19.200000000000003</v>
      </c>
      <c r="R101" s="11">
        <f>IF(Y101="Yes",('Pricing Inputs'!$B$25*'Pricing Inputs'!$B$29)+(I101*'Pricing Inputs'!$B$26*'Pricing Inputs'!$B$23),0)</f>
        <v>24.945600000000002</v>
      </c>
      <c r="S101" s="11">
        <f t="shared" ref="S101:S132" si="11">O101+P101+Q101+R101</f>
        <v>281.4359</v>
      </c>
      <c r="T101" s="9"/>
      <c r="U101" s="12" t="s">
        <v>132</v>
      </c>
      <c r="V101" s="12">
        <v>4</v>
      </c>
      <c r="W101" s="12">
        <v>16</v>
      </c>
      <c r="X101" t="s">
        <v>346</v>
      </c>
      <c r="Y101" t="s">
        <v>127</v>
      </c>
      <c r="Z101" t="s">
        <v>134</v>
      </c>
    </row>
    <row r="102" spans="1:26" ht="15" customHeight="1">
      <c r="A102" s="9">
        <v>98</v>
      </c>
      <c r="B102" s="9" t="s">
        <v>347</v>
      </c>
      <c r="C102" s="9" t="s">
        <v>121</v>
      </c>
      <c r="D102" s="9" t="s">
        <v>130</v>
      </c>
      <c r="E102" s="9">
        <v>4</v>
      </c>
      <c r="F102" s="9">
        <v>16</v>
      </c>
      <c r="G102" s="9">
        <v>256</v>
      </c>
      <c r="H102" s="9">
        <v>0</v>
      </c>
      <c r="I102" s="9">
        <f t="shared" si="9"/>
        <v>256</v>
      </c>
      <c r="J102" s="9" t="s">
        <v>131</v>
      </c>
      <c r="K102" s="9" t="s">
        <v>132</v>
      </c>
      <c r="L102" s="9" t="s">
        <v>125</v>
      </c>
      <c r="M102" s="9">
        <f>IF(L102="3-Yr No Upfront",'Pricing Inputs'!$B$29,'Pricing Inputs'!$B$30)</f>
        <v>730</v>
      </c>
      <c r="N102" s="10">
        <f>IF(U102="m7a.2xlarge",IF(L102="3-Yr No Upfront",'Pricing Inputs'!$E$18,'Pricing Inputs'!$D$18),IFERROR(INDEX('Pricing Inputs'!$D$6:$G$14,MATCH(U102,'Pricing Inputs'!$A$6:$A$14,0),IF(L102="3-Yr No Upfront",IF(J102="Windows",4,3),IF(J102="Windows",2,1))),"CHECK"))</f>
        <v>0.29166999999999998</v>
      </c>
      <c r="O102" s="11">
        <f t="shared" si="10"/>
        <v>212.91909999999999</v>
      </c>
      <c r="P102" s="11">
        <f>I102*'Pricing Inputs'!$B$22</f>
        <v>24.371200000000002</v>
      </c>
      <c r="Q102" s="11">
        <f>I102*'Pricing Inputs'!$B$24*IF(OR(C102="Prod",C102="Prod/UAT/Dev"),'Pricing Inputs'!$B$31,'Pricing Inputs'!$B$32)</f>
        <v>19.200000000000003</v>
      </c>
      <c r="R102" s="11">
        <f>IF(Y102="Yes",('Pricing Inputs'!$B$25*'Pricing Inputs'!$B$29)+(I102*'Pricing Inputs'!$B$26*'Pricing Inputs'!$B$23),0)</f>
        <v>24.945600000000002</v>
      </c>
      <c r="S102" s="11">
        <f t="shared" si="11"/>
        <v>281.4359</v>
      </c>
      <c r="T102" s="9"/>
      <c r="U102" s="12" t="s">
        <v>132</v>
      </c>
      <c r="V102" s="12">
        <v>4</v>
      </c>
      <c r="W102" s="12">
        <v>16</v>
      </c>
      <c r="X102" t="s">
        <v>348</v>
      </c>
      <c r="Y102" t="s">
        <v>127</v>
      </c>
      <c r="Z102" t="s">
        <v>134</v>
      </c>
    </row>
    <row r="103" spans="1:26" ht="15" customHeight="1">
      <c r="A103" s="9">
        <v>99</v>
      </c>
      <c r="B103" s="9" t="s">
        <v>349</v>
      </c>
      <c r="C103" s="9" t="s">
        <v>121</v>
      </c>
      <c r="D103" s="9" t="s">
        <v>130</v>
      </c>
      <c r="E103" s="9">
        <v>4</v>
      </c>
      <c r="F103" s="9">
        <v>16</v>
      </c>
      <c r="G103" s="9">
        <v>256</v>
      </c>
      <c r="H103" s="9">
        <v>0</v>
      </c>
      <c r="I103" s="9">
        <f t="shared" si="9"/>
        <v>256</v>
      </c>
      <c r="J103" s="9" t="s">
        <v>131</v>
      </c>
      <c r="K103" s="9" t="s">
        <v>132</v>
      </c>
      <c r="L103" s="9" t="s">
        <v>125</v>
      </c>
      <c r="M103" s="9">
        <f>IF(L103="3-Yr No Upfront",'Pricing Inputs'!$B$29,'Pricing Inputs'!$B$30)</f>
        <v>730</v>
      </c>
      <c r="N103" s="10">
        <f>IF(U103="m7a.2xlarge",IF(L103="3-Yr No Upfront",'Pricing Inputs'!$E$18,'Pricing Inputs'!$D$18),IFERROR(INDEX('Pricing Inputs'!$D$6:$G$14,MATCH(U103,'Pricing Inputs'!$A$6:$A$14,0),IF(L103="3-Yr No Upfront",IF(J103="Windows",4,3),IF(J103="Windows",2,1))),"CHECK"))</f>
        <v>0.29166999999999998</v>
      </c>
      <c r="O103" s="11">
        <f t="shared" si="10"/>
        <v>212.91909999999999</v>
      </c>
      <c r="P103" s="11">
        <f>I103*'Pricing Inputs'!$B$22</f>
        <v>24.371200000000002</v>
      </c>
      <c r="Q103" s="11">
        <f>I103*'Pricing Inputs'!$B$24*IF(OR(C103="Prod",C103="Prod/UAT/Dev"),'Pricing Inputs'!$B$31,'Pricing Inputs'!$B$32)</f>
        <v>19.200000000000003</v>
      </c>
      <c r="R103" s="11">
        <f>IF(Y103="Yes",('Pricing Inputs'!$B$25*'Pricing Inputs'!$B$29)+(I103*'Pricing Inputs'!$B$26*'Pricing Inputs'!$B$23),0)</f>
        <v>24.945600000000002</v>
      </c>
      <c r="S103" s="11">
        <f t="shared" si="11"/>
        <v>281.4359</v>
      </c>
      <c r="T103" s="9"/>
      <c r="U103" s="12" t="s">
        <v>132</v>
      </c>
      <c r="V103" s="12">
        <v>4</v>
      </c>
      <c r="W103" s="12">
        <v>16</v>
      </c>
      <c r="X103" t="s">
        <v>350</v>
      </c>
      <c r="Y103" t="s">
        <v>127</v>
      </c>
      <c r="Z103" t="s">
        <v>134</v>
      </c>
    </row>
    <row r="104" spans="1:26" ht="15" customHeight="1">
      <c r="A104" s="9">
        <v>100</v>
      </c>
      <c r="B104" s="9" t="s">
        <v>351</v>
      </c>
      <c r="C104" s="9" t="s">
        <v>121</v>
      </c>
      <c r="D104" s="9" t="s">
        <v>352</v>
      </c>
      <c r="E104" s="9">
        <v>16</v>
      </c>
      <c r="F104" s="9">
        <v>128</v>
      </c>
      <c r="G104" s="9">
        <v>256</v>
      </c>
      <c r="H104" s="9">
        <v>21750</v>
      </c>
      <c r="I104" s="9">
        <f t="shared" si="9"/>
        <v>22006</v>
      </c>
      <c r="J104" s="9" t="s">
        <v>123</v>
      </c>
      <c r="K104" s="9" t="s">
        <v>353</v>
      </c>
      <c r="L104" s="9" t="s">
        <v>125</v>
      </c>
      <c r="M104" s="9">
        <f>IF(L104="3-Yr No Upfront",'Pricing Inputs'!$B$29,'Pricing Inputs'!$B$30)</f>
        <v>730</v>
      </c>
      <c r="N104" s="10">
        <f>IF(U104="m7a.2xlarge",IF(L104="3-Yr No Upfront",'Pricing Inputs'!$E$18,'Pricing Inputs'!$D$18),IFERROR(INDEX('Pricing Inputs'!$D$6:$G$14,MATCH(U104,'Pricing Inputs'!$A$6:$A$14,0),IF(L104="3-Yr No Upfront",IF(J104="Windows",4,3),IF(J104="Windows",2,1))),"CHECK"))</f>
        <v>0.57088000000000005</v>
      </c>
      <c r="O104" s="11">
        <f t="shared" si="10"/>
        <v>416.74240000000003</v>
      </c>
      <c r="P104" s="11">
        <f>I104*'Pricing Inputs'!$B$22</f>
        <v>2094.9712</v>
      </c>
      <c r="Q104" s="11">
        <f>I104*'Pricing Inputs'!$B$24*IF(OR(C104="Prod",C104="Prod/UAT/Dev"),'Pricing Inputs'!$B$31,'Pricing Inputs'!$B$32)</f>
        <v>1650.4499999999998</v>
      </c>
      <c r="R104" s="11">
        <f>IF(Y104="Yes",('Pricing Inputs'!$B$25*'Pricing Inputs'!$B$29)+(I104*'Pricing Inputs'!$B$26*'Pricing Inputs'!$B$23),0)</f>
        <v>407.74559999999997</v>
      </c>
      <c r="S104" s="11">
        <f t="shared" si="11"/>
        <v>4569.9092000000001</v>
      </c>
      <c r="T104" s="9"/>
      <c r="U104" s="12" t="s">
        <v>353</v>
      </c>
      <c r="V104" s="12">
        <v>16</v>
      </c>
      <c r="W104" s="12">
        <v>128</v>
      </c>
      <c r="X104" t="s">
        <v>354</v>
      </c>
      <c r="Y104" t="s">
        <v>127</v>
      </c>
      <c r="Z104" t="s">
        <v>134</v>
      </c>
    </row>
    <row r="105" spans="1:26" ht="15" customHeight="1">
      <c r="A105" s="9">
        <v>101</v>
      </c>
      <c r="B105" s="9" t="s">
        <v>355</v>
      </c>
      <c r="C105" s="9" t="s">
        <v>40</v>
      </c>
      <c r="D105" s="9" t="s">
        <v>356</v>
      </c>
      <c r="E105" s="9">
        <v>8</v>
      </c>
      <c r="F105" s="9">
        <v>64</v>
      </c>
      <c r="G105" s="9">
        <v>256</v>
      </c>
      <c r="H105" s="9">
        <v>2584</v>
      </c>
      <c r="I105" s="9">
        <f t="shared" si="9"/>
        <v>2840</v>
      </c>
      <c r="J105" s="9" t="s">
        <v>123</v>
      </c>
      <c r="K105" s="9" t="s">
        <v>227</v>
      </c>
      <c r="L105" s="9" t="s">
        <v>136</v>
      </c>
      <c r="M105" s="9">
        <f>IF(L105="3-Yr No Upfront",'Pricing Inputs'!$B$29,'Pricing Inputs'!$B$30)</f>
        <v>260</v>
      </c>
      <c r="N105" s="10">
        <f>IF(U105="m7a.2xlarge",IF(L105="3-Yr No Upfront",'Pricing Inputs'!$E$18,'Pricing Inputs'!$D$18),IFERROR(INDEX('Pricing Inputs'!$D$6:$G$14,MATCH(U105,'Pricing Inputs'!$A$6:$A$14,0),IF(L105="3-Yr No Upfront",IF(J105="Windows",4,3),IF(J105="Windows",2,1))),"CHECK"))</f>
        <v>0.54720000000000002</v>
      </c>
      <c r="O105" s="11">
        <f t="shared" si="10"/>
        <v>142.27199999999999</v>
      </c>
      <c r="P105" s="11">
        <f>I105*'Pricing Inputs'!$B$22</f>
        <v>270.36799999999999</v>
      </c>
      <c r="Q105" s="11">
        <f>I105*'Pricing Inputs'!$B$24*IF(OR(C105="Prod",C105="Prod/UAT/Dev"),'Pricing Inputs'!$B$31,'Pricing Inputs'!$B$32)</f>
        <v>170.4</v>
      </c>
      <c r="R105" s="11">
        <f>IF(Y105="Yes",('Pricing Inputs'!$B$25*'Pricing Inputs'!$B$29)+(I105*'Pricing Inputs'!$B$26*'Pricing Inputs'!$B$23),0)</f>
        <v>0</v>
      </c>
      <c r="S105" s="11">
        <f t="shared" si="11"/>
        <v>583.04</v>
      </c>
      <c r="T105" s="9"/>
      <c r="U105" s="12" t="s">
        <v>227</v>
      </c>
      <c r="V105" s="12">
        <v>8</v>
      </c>
      <c r="W105" s="12">
        <v>64</v>
      </c>
      <c r="X105" t="s">
        <v>357</v>
      </c>
      <c r="Y105" t="s">
        <v>138</v>
      </c>
      <c r="Z105" t="s">
        <v>134</v>
      </c>
    </row>
    <row r="106" spans="1:26" ht="15" customHeight="1">
      <c r="A106" s="9">
        <v>102</v>
      </c>
      <c r="B106" s="9" t="s">
        <v>358</v>
      </c>
      <c r="C106" s="9" t="s">
        <v>121</v>
      </c>
      <c r="D106" s="9" t="s">
        <v>184</v>
      </c>
      <c r="E106" s="9">
        <v>2</v>
      </c>
      <c r="F106" s="9">
        <v>8</v>
      </c>
      <c r="G106" s="9">
        <v>127</v>
      </c>
      <c r="H106" s="9">
        <v>1120</v>
      </c>
      <c r="I106" s="9">
        <f t="shared" si="9"/>
        <v>1247</v>
      </c>
      <c r="J106" s="9" t="s">
        <v>131</v>
      </c>
      <c r="K106" s="9" t="s">
        <v>124</v>
      </c>
      <c r="L106" s="9" t="s">
        <v>125</v>
      </c>
      <c r="M106" s="9">
        <f>IF(L106="3-Yr No Upfront",'Pricing Inputs'!$B$29,'Pricing Inputs'!$B$30)</f>
        <v>730</v>
      </c>
      <c r="N106" s="10">
        <f>IF(U106="m7a.2xlarge",IF(L106="3-Yr No Upfront",'Pricing Inputs'!$E$18,'Pricing Inputs'!$D$18),IFERROR(INDEX('Pricing Inputs'!$D$6:$G$14,MATCH(U106,'Pricing Inputs'!$A$6:$A$14,0),IF(L106="3-Yr No Upfront",IF(J106="Windows",4,3),IF(J106="Windows",2,1))),"CHECK"))</f>
        <v>0.14582999999999999</v>
      </c>
      <c r="O106" s="11">
        <f t="shared" si="10"/>
        <v>106.45589999999999</v>
      </c>
      <c r="P106" s="11">
        <f>I106*'Pricing Inputs'!$B$22</f>
        <v>118.71440000000001</v>
      </c>
      <c r="Q106" s="11">
        <f>I106*'Pricing Inputs'!$B$24*IF(OR(C106="Prod",C106="Prod/UAT/Dev"),'Pricing Inputs'!$B$31,'Pricing Inputs'!$B$32)</f>
        <v>93.525000000000006</v>
      </c>
      <c r="R106" s="11">
        <f>IF(Y106="Yes",('Pricing Inputs'!$B$25*'Pricing Inputs'!$B$29)+(I106*'Pricing Inputs'!$B$26*'Pricing Inputs'!$B$23),0)</f>
        <v>42.3872</v>
      </c>
      <c r="S106" s="11">
        <f t="shared" si="11"/>
        <v>361.08249999999998</v>
      </c>
      <c r="T106" s="9"/>
      <c r="U106" s="12" t="s">
        <v>124</v>
      </c>
      <c r="V106" s="12">
        <v>2</v>
      </c>
      <c r="W106" s="12">
        <v>8</v>
      </c>
      <c r="X106" t="s">
        <v>359</v>
      </c>
      <c r="Y106" t="s">
        <v>127</v>
      </c>
      <c r="Z106" t="s">
        <v>134</v>
      </c>
    </row>
    <row r="107" spans="1:26" ht="15" customHeight="1">
      <c r="A107" s="9">
        <v>103</v>
      </c>
      <c r="B107" s="9" t="s">
        <v>360</v>
      </c>
      <c r="C107" s="9" t="s">
        <v>121</v>
      </c>
      <c r="D107" s="9" t="s">
        <v>155</v>
      </c>
      <c r="E107" s="9">
        <v>4</v>
      </c>
      <c r="F107" s="9">
        <v>16</v>
      </c>
      <c r="G107" s="9">
        <v>127</v>
      </c>
      <c r="H107" s="9">
        <v>1274</v>
      </c>
      <c r="I107" s="9">
        <f t="shared" si="9"/>
        <v>1401</v>
      </c>
      <c r="J107" s="9" t="s">
        <v>131</v>
      </c>
      <c r="K107" s="9" t="s">
        <v>132</v>
      </c>
      <c r="L107" s="9" t="s">
        <v>125</v>
      </c>
      <c r="M107" s="9">
        <f>IF(L107="3-Yr No Upfront",'Pricing Inputs'!$B$29,'Pricing Inputs'!$B$30)</f>
        <v>730</v>
      </c>
      <c r="N107" s="10">
        <f>IF(U107="m7a.2xlarge",IF(L107="3-Yr No Upfront",'Pricing Inputs'!$E$18,'Pricing Inputs'!$D$18),IFERROR(INDEX('Pricing Inputs'!$D$6:$G$14,MATCH(U107,'Pricing Inputs'!$A$6:$A$14,0),IF(L107="3-Yr No Upfront",IF(J107="Windows",4,3),IF(J107="Windows",2,1))),"CHECK"))</f>
        <v>0.29166999999999998</v>
      </c>
      <c r="O107" s="11">
        <f t="shared" si="10"/>
        <v>212.91909999999999</v>
      </c>
      <c r="P107" s="11">
        <f>I107*'Pricing Inputs'!$B$22</f>
        <v>133.37520000000001</v>
      </c>
      <c r="Q107" s="11">
        <f>I107*'Pricing Inputs'!$B$24*IF(OR(C107="Prod",C107="Prod/UAT/Dev"),'Pricing Inputs'!$B$31,'Pricing Inputs'!$B$32)</f>
        <v>105.07499999999999</v>
      </c>
      <c r="R107" s="11">
        <f>IF(Y107="Yes",('Pricing Inputs'!$B$25*'Pricing Inputs'!$B$29)+(I107*'Pricing Inputs'!$B$26*'Pricing Inputs'!$B$23),0)</f>
        <v>45.0976</v>
      </c>
      <c r="S107" s="11">
        <f t="shared" si="11"/>
        <v>496.46690000000001</v>
      </c>
      <c r="T107" s="9"/>
      <c r="U107" s="12" t="s">
        <v>132</v>
      </c>
      <c r="V107" s="12">
        <v>4</v>
      </c>
      <c r="W107" s="12">
        <v>16</v>
      </c>
      <c r="X107" t="s">
        <v>361</v>
      </c>
      <c r="Y107" t="s">
        <v>127</v>
      </c>
      <c r="Z107" t="s">
        <v>128</v>
      </c>
    </row>
    <row r="108" spans="1:26" ht="15" customHeight="1">
      <c r="A108" s="9">
        <v>104</v>
      </c>
      <c r="B108" s="9" t="s">
        <v>362</v>
      </c>
      <c r="C108" s="9" t="s">
        <v>40</v>
      </c>
      <c r="D108" s="9" t="s">
        <v>298</v>
      </c>
      <c r="E108" s="9">
        <v>4</v>
      </c>
      <c r="F108" s="9">
        <v>16</v>
      </c>
      <c r="G108" s="9">
        <v>127</v>
      </c>
      <c r="H108" s="9">
        <v>128</v>
      </c>
      <c r="I108" s="9">
        <f t="shared" si="9"/>
        <v>255</v>
      </c>
      <c r="J108" s="9" t="s">
        <v>131</v>
      </c>
      <c r="K108" s="9" t="s">
        <v>132</v>
      </c>
      <c r="L108" s="9" t="s">
        <v>136</v>
      </c>
      <c r="M108" s="9">
        <f>IF(L108="3-Yr No Upfront",'Pricing Inputs'!$B$29,'Pricing Inputs'!$B$30)</f>
        <v>260</v>
      </c>
      <c r="N108" s="10">
        <f>IF(U108="m7a.2xlarge",IF(L108="3-Yr No Upfront",'Pricing Inputs'!$E$18,'Pricing Inputs'!$D$18),IFERROR(INDEX('Pricing Inputs'!$D$6:$G$14,MATCH(U108,'Pricing Inputs'!$A$6:$A$14,0),IF(L108="3-Yr No Upfront",IF(J108="Windows",4,3),IF(J108="Windows",2,1))),"CHECK"))</f>
        <v>0.19550000000000001</v>
      </c>
      <c r="O108" s="11">
        <f t="shared" si="10"/>
        <v>50.83</v>
      </c>
      <c r="P108" s="11">
        <f>I108*'Pricing Inputs'!$B$22</f>
        <v>24.276000000000003</v>
      </c>
      <c r="Q108" s="11">
        <f>I108*'Pricing Inputs'!$B$24*IF(OR(C108="Prod",C108="Prod/UAT/Dev"),'Pricing Inputs'!$B$31,'Pricing Inputs'!$B$32)</f>
        <v>15.299999999999999</v>
      </c>
      <c r="R108" s="11">
        <f>IF(Y108="Yes",('Pricing Inputs'!$B$25*'Pricing Inputs'!$B$29)+(I108*'Pricing Inputs'!$B$26*'Pricing Inputs'!$B$23),0)</f>
        <v>0</v>
      </c>
      <c r="S108" s="11">
        <f t="shared" si="11"/>
        <v>90.405999999999992</v>
      </c>
      <c r="T108" s="9"/>
      <c r="U108" s="13" t="s">
        <v>124</v>
      </c>
      <c r="V108" s="13">
        <v>2</v>
      </c>
      <c r="W108" s="13">
        <v>8</v>
      </c>
      <c r="X108" t="s">
        <v>363</v>
      </c>
      <c r="Y108" t="s">
        <v>138</v>
      </c>
      <c r="Z108" t="s">
        <v>134</v>
      </c>
    </row>
    <row r="109" spans="1:26" ht="15" customHeight="1">
      <c r="A109" s="9">
        <v>105</v>
      </c>
      <c r="B109" s="9" t="s">
        <v>364</v>
      </c>
      <c r="C109" s="9" t="s">
        <v>121</v>
      </c>
      <c r="D109" s="9" t="s">
        <v>365</v>
      </c>
      <c r="E109" s="9">
        <v>8</v>
      </c>
      <c r="F109" s="9">
        <v>64</v>
      </c>
      <c r="G109" s="9">
        <v>127</v>
      </c>
      <c r="H109" s="9">
        <v>640</v>
      </c>
      <c r="I109" s="9">
        <f t="shared" si="9"/>
        <v>767</v>
      </c>
      <c r="J109" s="9" t="s">
        <v>131</v>
      </c>
      <c r="K109" s="9" t="s">
        <v>227</v>
      </c>
      <c r="L109" s="9" t="s">
        <v>125</v>
      </c>
      <c r="M109" s="9">
        <f>IF(L109="3-Yr No Upfront",'Pricing Inputs'!$B$29,'Pricing Inputs'!$B$30)</f>
        <v>730</v>
      </c>
      <c r="N109" s="10">
        <f>IF(U109="m7a.2xlarge",IF(L109="3-Yr No Upfront",'Pricing Inputs'!$E$18,'Pricing Inputs'!$D$18),IFERROR(INDEX('Pricing Inputs'!$D$6:$G$14,MATCH(U109,'Pricing Inputs'!$A$6:$A$14,0),IF(L109="3-Yr No Upfront",IF(J109="Windows",4,3),IF(J109="Windows",2,1))),"CHECK"))</f>
        <v>0.65344000000000002</v>
      </c>
      <c r="O109" s="11">
        <f t="shared" si="10"/>
        <v>477.01120000000003</v>
      </c>
      <c r="P109" s="11">
        <f>I109*'Pricing Inputs'!$B$22</f>
        <v>73.0184</v>
      </c>
      <c r="Q109" s="11">
        <f>I109*'Pricing Inputs'!$B$24*IF(OR(C109="Prod",C109="Prod/UAT/Dev"),'Pricing Inputs'!$B$31,'Pricing Inputs'!$B$32)</f>
        <v>57.525000000000006</v>
      </c>
      <c r="R109" s="11">
        <f>IF(Y109="Yes",('Pricing Inputs'!$B$25*'Pricing Inputs'!$B$29)+(I109*'Pricing Inputs'!$B$26*'Pricing Inputs'!$B$23),0)</f>
        <v>33.9392</v>
      </c>
      <c r="S109" s="11">
        <f t="shared" si="11"/>
        <v>641.49380000000008</v>
      </c>
      <c r="T109" s="14" t="s">
        <v>366</v>
      </c>
      <c r="U109" s="12" t="s">
        <v>227</v>
      </c>
      <c r="V109" s="12">
        <v>8</v>
      </c>
      <c r="W109" s="12">
        <v>64</v>
      </c>
      <c r="X109" t="s">
        <v>367</v>
      </c>
      <c r="Y109" t="s">
        <v>127</v>
      </c>
      <c r="Z109" t="s">
        <v>368</v>
      </c>
    </row>
    <row r="110" spans="1:26" ht="15" customHeight="1">
      <c r="A110" s="9">
        <v>106</v>
      </c>
      <c r="B110" s="9" t="s">
        <v>369</v>
      </c>
      <c r="C110" s="9" t="s">
        <v>121</v>
      </c>
      <c r="D110" s="9" t="s">
        <v>365</v>
      </c>
      <c r="E110" s="9">
        <v>16</v>
      </c>
      <c r="F110" s="9">
        <v>128</v>
      </c>
      <c r="G110" s="9">
        <v>255</v>
      </c>
      <c r="H110" s="9">
        <v>1280</v>
      </c>
      <c r="I110" s="9">
        <f t="shared" si="9"/>
        <v>1535</v>
      </c>
      <c r="J110" s="9" t="s">
        <v>131</v>
      </c>
      <c r="K110" s="9" t="s">
        <v>353</v>
      </c>
      <c r="L110" s="9" t="s">
        <v>125</v>
      </c>
      <c r="M110" s="9">
        <f>IF(L110="3-Yr No Upfront",'Pricing Inputs'!$B$29,'Pricing Inputs'!$B$30)</f>
        <v>730</v>
      </c>
      <c r="N110" s="10">
        <f>IF(U110="m7a.2xlarge",IF(L110="3-Yr No Upfront",'Pricing Inputs'!$E$18,'Pricing Inputs'!$D$18),IFERROR(INDEX('Pricing Inputs'!$D$6:$G$14,MATCH(U110,'Pricing Inputs'!$A$6:$A$14,0),IF(L110="3-Yr No Upfront",IF(J110="Windows",4,3),IF(J110="Windows",2,1))),"CHECK"))</f>
        <v>1.30688</v>
      </c>
      <c r="O110" s="11">
        <f t="shared" si="10"/>
        <v>954.02240000000006</v>
      </c>
      <c r="P110" s="11">
        <f>I110*'Pricing Inputs'!$B$22</f>
        <v>146.13200000000001</v>
      </c>
      <c r="Q110" s="11">
        <f>I110*'Pricing Inputs'!$B$24*IF(OR(C110="Prod",C110="Prod/UAT/Dev"),'Pricing Inputs'!$B$31,'Pricing Inputs'!$B$32)</f>
        <v>115.125</v>
      </c>
      <c r="R110" s="11">
        <f>IF(Y110="Yes",('Pricing Inputs'!$B$25*'Pricing Inputs'!$B$29)+(I110*'Pricing Inputs'!$B$26*'Pricing Inputs'!$B$23),0)</f>
        <v>47.456000000000003</v>
      </c>
      <c r="S110" s="11">
        <f t="shared" si="11"/>
        <v>1262.7354</v>
      </c>
      <c r="T110" s="14" t="s">
        <v>370</v>
      </c>
      <c r="U110" s="12" t="s">
        <v>353</v>
      </c>
      <c r="V110" s="12">
        <v>16</v>
      </c>
      <c r="W110" s="12">
        <v>128</v>
      </c>
      <c r="X110" t="s">
        <v>367</v>
      </c>
      <c r="Y110" t="s">
        <v>127</v>
      </c>
      <c r="Z110" t="s">
        <v>368</v>
      </c>
    </row>
    <row r="111" spans="1:26" ht="15" customHeight="1">
      <c r="A111" s="9">
        <v>107</v>
      </c>
      <c r="B111" s="9" t="s">
        <v>371</v>
      </c>
      <c r="C111" s="9" t="s">
        <v>40</v>
      </c>
      <c r="D111" s="9" t="s">
        <v>365</v>
      </c>
      <c r="E111" s="9">
        <v>8</v>
      </c>
      <c r="F111" s="9">
        <v>64</v>
      </c>
      <c r="G111" s="9">
        <v>127</v>
      </c>
      <c r="H111" s="9">
        <v>256</v>
      </c>
      <c r="I111" s="9">
        <f t="shared" si="9"/>
        <v>383</v>
      </c>
      <c r="J111" s="9" t="s">
        <v>131</v>
      </c>
      <c r="K111" s="9" t="s">
        <v>227</v>
      </c>
      <c r="L111" s="9" t="s">
        <v>136</v>
      </c>
      <c r="M111" s="9">
        <f>IF(L111="3-Yr No Upfront",'Pricing Inputs'!$B$29,'Pricing Inputs'!$B$30)</f>
        <v>260</v>
      </c>
      <c r="N111" s="10">
        <f>IF(U111="m7a.2xlarge",IF(L111="3-Yr No Upfront",'Pricing Inputs'!$E$18,'Pricing Inputs'!$D$18),IFERROR(INDEX('Pricing Inputs'!$D$6:$G$14,MATCH(U111,'Pricing Inputs'!$A$6:$A$14,0),IF(L111="3-Yr No Upfront",IF(J111="Windows",4,3),IF(J111="Windows",2,1))),"CHECK"))</f>
        <v>0.91520000000000001</v>
      </c>
      <c r="O111" s="11">
        <f t="shared" si="10"/>
        <v>237.952</v>
      </c>
      <c r="P111" s="11">
        <f>I111*'Pricing Inputs'!$B$22</f>
        <v>36.461600000000004</v>
      </c>
      <c r="Q111" s="11">
        <f>I111*'Pricing Inputs'!$B$24*IF(OR(C111="Prod",C111="Prod/UAT/Dev"),'Pricing Inputs'!$B$31,'Pricing Inputs'!$B$32)</f>
        <v>22.98</v>
      </c>
      <c r="R111" s="11">
        <f>IF(Y111="Yes",('Pricing Inputs'!$B$25*'Pricing Inputs'!$B$29)+(I111*'Pricing Inputs'!$B$26*'Pricing Inputs'!$B$23),0)</f>
        <v>0</v>
      </c>
      <c r="S111" s="11">
        <f t="shared" si="11"/>
        <v>297.39359999999999</v>
      </c>
      <c r="T111" s="14" t="s">
        <v>372</v>
      </c>
      <c r="U111" s="12" t="s">
        <v>227</v>
      </c>
      <c r="V111" s="12">
        <v>8</v>
      </c>
      <c r="W111" s="12">
        <v>64</v>
      </c>
      <c r="X111" t="s">
        <v>367</v>
      </c>
      <c r="Y111" t="s">
        <v>138</v>
      </c>
      <c r="Z111" t="s">
        <v>368</v>
      </c>
    </row>
    <row r="112" spans="1:26" ht="15" customHeight="1">
      <c r="A112" s="9">
        <v>108</v>
      </c>
      <c r="B112" s="9" t="s">
        <v>373</v>
      </c>
      <c r="C112" s="9" t="s">
        <v>40</v>
      </c>
      <c r="D112" s="9" t="s">
        <v>365</v>
      </c>
      <c r="E112" s="9">
        <v>8</v>
      </c>
      <c r="F112" s="9">
        <v>64</v>
      </c>
      <c r="G112" s="9">
        <v>227</v>
      </c>
      <c r="H112" s="9">
        <v>328</v>
      </c>
      <c r="I112" s="9">
        <f t="shared" si="9"/>
        <v>555</v>
      </c>
      <c r="J112" s="9" t="s">
        <v>131</v>
      </c>
      <c r="K112" s="9" t="s">
        <v>227</v>
      </c>
      <c r="L112" s="9" t="s">
        <v>136</v>
      </c>
      <c r="M112" s="9">
        <f>IF(L112="3-Yr No Upfront",'Pricing Inputs'!$B$29,'Pricing Inputs'!$B$30)</f>
        <v>260</v>
      </c>
      <c r="N112" s="10">
        <f>IF(U112="m7a.2xlarge",IF(L112="3-Yr No Upfront",'Pricing Inputs'!$E$18,'Pricing Inputs'!$D$18),IFERROR(INDEX('Pricing Inputs'!$D$6:$G$14,MATCH(U112,'Pricing Inputs'!$A$6:$A$14,0),IF(L112="3-Yr No Upfront",IF(J112="Windows",4,3),IF(J112="Windows",2,1))),"CHECK"))</f>
        <v>0.91520000000000001</v>
      </c>
      <c r="O112" s="11">
        <f t="shared" si="10"/>
        <v>237.952</v>
      </c>
      <c r="P112" s="11">
        <f>I112*'Pricing Inputs'!$B$22</f>
        <v>52.836000000000006</v>
      </c>
      <c r="Q112" s="11">
        <f>I112*'Pricing Inputs'!$B$24*IF(OR(C112="Prod",C112="Prod/UAT/Dev"),'Pricing Inputs'!$B$31,'Pricing Inputs'!$B$32)</f>
        <v>33.299999999999997</v>
      </c>
      <c r="R112" s="11">
        <f>IF(Y112="Yes",('Pricing Inputs'!$B$25*'Pricing Inputs'!$B$29)+(I112*'Pricing Inputs'!$B$26*'Pricing Inputs'!$B$23),0)</f>
        <v>0</v>
      </c>
      <c r="S112" s="11">
        <f t="shared" si="11"/>
        <v>324.08800000000002</v>
      </c>
      <c r="T112" s="14" t="s">
        <v>374</v>
      </c>
      <c r="U112" s="12" t="s">
        <v>227</v>
      </c>
      <c r="V112" s="12">
        <v>8</v>
      </c>
      <c r="W112" s="12">
        <v>64</v>
      </c>
      <c r="X112" t="s">
        <v>367</v>
      </c>
      <c r="Y112" t="s">
        <v>138</v>
      </c>
      <c r="Z112" t="s">
        <v>368</v>
      </c>
    </row>
    <row r="113" spans="1:26" ht="15" customHeight="1">
      <c r="A113" s="9">
        <v>109</v>
      </c>
      <c r="B113" s="9" t="s">
        <v>375</v>
      </c>
      <c r="C113" s="9" t="s">
        <v>121</v>
      </c>
      <c r="D113" s="9" t="s">
        <v>376</v>
      </c>
      <c r="E113" s="9">
        <v>8</v>
      </c>
      <c r="F113" s="9">
        <v>32</v>
      </c>
      <c r="G113" s="9">
        <v>128</v>
      </c>
      <c r="H113" s="9">
        <v>0</v>
      </c>
      <c r="I113" s="9">
        <f t="shared" si="9"/>
        <v>128</v>
      </c>
      <c r="J113" s="9" t="s">
        <v>131</v>
      </c>
      <c r="K113" s="9" t="s">
        <v>377</v>
      </c>
      <c r="L113" s="9" t="s">
        <v>125</v>
      </c>
      <c r="M113" s="9">
        <f>IF(L113="3-Yr No Upfront",'Pricing Inputs'!$B$29,'Pricing Inputs'!$B$30)</f>
        <v>730</v>
      </c>
      <c r="N113" s="10">
        <f>IF(U113="m7a.2xlarge",IF(L113="3-Yr No Upfront",'Pricing Inputs'!$E$18,'Pricing Inputs'!$D$18),IFERROR(INDEX('Pricing Inputs'!$D$6:$G$14,MATCH(U113,'Pricing Inputs'!$A$6:$A$14,0),IF(L113="3-Yr No Upfront",IF(J113="Windows",4,3),IF(J113="Windows",2,1))),"CHECK"))</f>
        <v>0.65690000000000004</v>
      </c>
      <c r="O113" s="11">
        <f t="shared" si="10"/>
        <v>479.53700000000003</v>
      </c>
      <c r="P113" s="11">
        <f>I113*'Pricing Inputs'!$B$22</f>
        <v>12.185600000000001</v>
      </c>
      <c r="Q113" s="11">
        <f>I113*'Pricing Inputs'!$B$24*IF(OR(C113="Prod",C113="Prod/UAT/Dev"),'Pricing Inputs'!$B$31,'Pricing Inputs'!$B$32)</f>
        <v>9.6000000000000014</v>
      </c>
      <c r="R113" s="11">
        <f>IF(Y113="Yes",('Pricing Inputs'!$B$25*'Pricing Inputs'!$B$29)+(I113*'Pricing Inputs'!$B$26*'Pricing Inputs'!$B$23),0)</f>
        <v>22.692800000000002</v>
      </c>
      <c r="S113" s="11">
        <f t="shared" si="11"/>
        <v>524.01540000000011</v>
      </c>
      <c r="T113" s="14" t="s">
        <v>378</v>
      </c>
      <c r="U113" s="12" t="s">
        <v>377</v>
      </c>
      <c r="V113" s="12">
        <v>8</v>
      </c>
      <c r="W113" s="12">
        <v>32</v>
      </c>
      <c r="X113" t="s">
        <v>379</v>
      </c>
      <c r="Y113" t="s">
        <v>127</v>
      </c>
      <c r="Z113" t="s">
        <v>368</v>
      </c>
    </row>
    <row r="114" spans="1:26" ht="15" customHeight="1">
      <c r="A114" s="9">
        <v>110</v>
      </c>
      <c r="B114" s="9" t="s">
        <v>380</v>
      </c>
      <c r="C114" s="9" t="s">
        <v>121</v>
      </c>
      <c r="D114" s="9" t="s">
        <v>376</v>
      </c>
      <c r="E114" s="9">
        <v>8</v>
      </c>
      <c r="F114" s="9">
        <v>32</v>
      </c>
      <c r="G114" s="9">
        <v>128</v>
      </c>
      <c r="H114" s="9">
        <v>0</v>
      </c>
      <c r="I114" s="9">
        <f t="shared" si="9"/>
        <v>128</v>
      </c>
      <c r="J114" s="9" t="s">
        <v>131</v>
      </c>
      <c r="K114" s="9" t="s">
        <v>377</v>
      </c>
      <c r="L114" s="9" t="s">
        <v>125</v>
      </c>
      <c r="M114" s="9">
        <f>IF(L114="3-Yr No Upfront",'Pricing Inputs'!$B$29,'Pricing Inputs'!$B$30)</f>
        <v>730</v>
      </c>
      <c r="N114" s="10">
        <f>IF(U114="m7a.2xlarge",IF(L114="3-Yr No Upfront",'Pricing Inputs'!$E$18,'Pricing Inputs'!$D$18),IFERROR(INDEX('Pricing Inputs'!$D$6:$G$14,MATCH(U114,'Pricing Inputs'!$A$6:$A$14,0),IF(L114="3-Yr No Upfront",IF(J114="Windows",4,3),IF(J114="Windows",2,1))),"CHECK"))</f>
        <v>0.65690000000000004</v>
      </c>
      <c r="O114" s="11">
        <f t="shared" si="10"/>
        <v>479.53700000000003</v>
      </c>
      <c r="P114" s="11">
        <f>I114*'Pricing Inputs'!$B$22</f>
        <v>12.185600000000001</v>
      </c>
      <c r="Q114" s="11">
        <f>I114*'Pricing Inputs'!$B$24*IF(OR(C114="Prod",C114="Prod/UAT/Dev"),'Pricing Inputs'!$B$31,'Pricing Inputs'!$B$32)</f>
        <v>9.6000000000000014</v>
      </c>
      <c r="R114" s="11">
        <f>IF(Y114="Yes",('Pricing Inputs'!$B$25*'Pricing Inputs'!$B$29)+(I114*'Pricing Inputs'!$B$26*'Pricing Inputs'!$B$23),0)</f>
        <v>22.692800000000002</v>
      </c>
      <c r="S114" s="11">
        <f t="shared" si="11"/>
        <v>524.01540000000011</v>
      </c>
      <c r="T114" s="14" t="s">
        <v>378</v>
      </c>
      <c r="U114" s="12" t="s">
        <v>377</v>
      </c>
      <c r="V114" s="12">
        <v>8</v>
      </c>
      <c r="W114" s="12">
        <v>32</v>
      </c>
      <c r="X114" t="s">
        <v>379</v>
      </c>
      <c r="Y114" t="s">
        <v>127</v>
      </c>
      <c r="Z114" t="s">
        <v>368</v>
      </c>
    </row>
    <row r="115" spans="1:26" ht="15" customHeight="1">
      <c r="A115" s="9"/>
      <c r="B115" s="15" t="s">
        <v>381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16">
        <f>SUM(O5:O114)</f>
        <v>19871.189100000011</v>
      </c>
      <c r="P115" s="16">
        <f>SUM(P5:P114)</f>
        <v>6269.3960000000006</v>
      </c>
      <c r="Q115" s="16">
        <f>SUM(Q5:Q114)</f>
        <v>4748.5050000000001</v>
      </c>
      <c r="R115" s="16">
        <f>SUM(R5:R114)</f>
        <v>2153.4704000000002</v>
      </c>
      <c r="S115" s="16">
        <f>SUM(S5:S114)</f>
        <v>33042.560500000007</v>
      </c>
      <c r="T115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showGridLines="0" zoomScaleNormal="100" workbookViewId="0"/>
  </sheetViews>
  <sheetFormatPr defaultColWidth="8.5703125" defaultRowHeight="14.45"/>
  <cols>
    <col min="1" max="1" width="34" customWidth="1"/>
    <col min="2" max="5" width="16" customWidth="1"/>
  </cols>
  <sheetData>
    <row r="1" spans="1:6" ht="19.5" customHeight="1">
      <c r="A1" s="4" t="s">
        <v>382</v>
      </c>
    </row>
    <row r="2" spans="1:6" ht="15" customHeight="1">
      <c r="A2" s="34" t="s">
        <v>383</v>
      </c>
      <c r="B2" s="34"/>
      <c r="C2" s="34"/>
      <c r="D2" s="34"/>
      <c r="E2" s="34"/>
      <c r="F2" s="34"/>
    </row>
    <row r="4" spans="1:6" ht="15" customHeight="1">
      <c r="A4" s="17" t="s">
        <v>384</v>
      </c>
      <c r="B4" s="17" t="s">
        <v>385</v>
      </c>
      <c r="C4" s="17" t="s">
        <v>386</v>
      </c>
      <c r="D4" s="17" t="s">
        <v>387</v>
      </c>
      <c r="E4" s="17" t="s">
        <v>388</v>
      </c>
    </row>
    <row r="5" spans="1:6" ht="15" customHeight="1">
      <c r="A5" t="s">
        <v>389</v>
      </c>
      <c r="B5">
        <f>COUNTIF('Server Inventory'!$L$5:$L$114,"3-Yr No Upfront")</f>
        <v>84</v>
      </c>
      <c r="C5" s="18">
        <f>SUMIF('Server Inventory'!$L$5:$L$114,"3-Yr No Upfront",'Server Inventory'!$O$5:$O$114)</f>
        <v>17301.635100000003</v>
      </c>
      <c r="D5" s="18">
        <f>C5*12</f>
        <v>207619.62120000005</v>
      </c>
      <c r="E5" s="18">
        <f>C5*36</f>
        <v>622858.86360000016</v>
      </c>
    </row>
    <row r="6" spans="1:6" ht="15" customHeight="1">
      <c r="A6" t="s">
        <v>390</v>
      </c>
      <c r="B6">
        <f>COUNTIF('Server Inventory'!$L$5:$L$114,"On-Demand 12x5")</f>
        <v>26</v>
      </c>
      <c r="C6" s="18">
        <f>SUMIF('Server Inventory'!$L$5:$L$114,"On-Demand 12x5",'Server Inventory'!$O$5:$O$114)</f>
        <v>2569.554000000001</v>
      </c>
      <c r="D6" s="18">
        <f>C6*12</f>
        <v>30834.648000000012</v>
      </c>
      <c r="E6" s="18">
        <f>C6*36</f>
        <v>92503.944000000032</v>
      </c>
    </row>
    <row r="7" spans="1:6" ht="15" customHeight="1">
      <c r="A7" s="6" t="s">
        <v>381</v>
      </c>
      <c r="B7" s="6">
        <f>SUM(B5:B6)</f>
        <v>110</v>
      </c>
      <c r="C7" s="19">
        <f>SUM(C5:C6)</f>
        <v>19871.189100000003</v>
      </c>
      <c r="D7" s="19">
        <f>SUM(D5:D6)</f>
        <v>238454.26920000007</v>
      </c>
      <c r="E7" s="19">
        <f>SUM(E5:E6)</f>
        <v>715362.80760000017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zoomScaleNormal="100" workbookViewId="0"/>
  </sheetViews>
  <sheetFormatPr defaultColWidth="8.5703125" defaultRowHeight="14.45"/>
  <cols>
    <col min="1" max="1" width="34" customWidth="1"/>
    <col min="2" max="5" width="16" customWidth="1"/>
  </cols>
  <sheetData>
    <row r="1" spans="1:6" ht="19.5" customHeight="1">
      <c r="A1" s="4" t="s">
        <v>391</v>
      </c>
    </row>
    <row r="2" spans="1:6" ht="15" customHeight="1">
      <c r="A2" s="34" t="s">
        <v>392</v>
      </c>
      <c r="B2" s="34"/>
      <c r="C2" s="34"/>
      <c r="D2" s="34"/>
      <c r="E2" s="34"/>
      <c r="F2" s="34"/>
    </row>
    <row r="4" spans="1:6" ht="15" customHeight="1">
      <c r="A4" s="17" t="s">
        <v>384</v>
      </c>
      <c r="B4" s="17" t="s">
        <v>385</v>
      </c>
      <c r="C4" s="17" t="s">
        <v>386</v>
      </c>
      <c r="D4" s="17" t="s">
        <v>387</v>
      </c>
      <c r="E4" s="17" t="s">
        <v>388</v>
      </c>
    </row>
    <row r="5" spans="1:6" ht="15" customHeight="1">
      <c r="A5" t="s">
        <v>389</v>
      </c>
      <c r="B5">
        <f>COUNTIF('Server Inventory'!$L$5:$L$114,"3-Yr No Upfront")</f>
        <v>84</v>
      </c>
      <c r="C5" s="18">
        <f>SUMIF('Server Inventory'!$L$5:$L$114,"3-Yr No Upfront",'Server Inventory'!$P$5:$P$114)</f>
        <v>5059.5944000000018</v>
      </c>
      <c r="D5" s="18">
        <f>C5*12</f>
        <v>60715.132800000021</v>
      </c>
      <c r="E5" s="18">
        <f>C5*36</f>
        <v>182145.39840000006</v>
      </c>
    </row>
    <row r="6" spans="1:6" ht="15" customHeight="1">
      <c r="A6" t="s">
        <v>390</v>
      </c>
      <c r="B6">
        <f>COUNTIF('Server Inventory'!$L$5:$L$114,"On-Demand 12x5")</f>
        <v>26</v>
      </c>
      <c r="C6" s="18">
        <f>SUMIF('Server Inventory'!$L$5:$L$114,"On-Demand 12x5",'Server Inventory'!$P$5:$P$114)</f>
        <v>1209.8016000000005</v>
      </c>
      <c r="D6" s="18">
        <f>C6*12</f>
        <v>14517.619200000005</v>
      </c>
      <c r="E6" s="18">
        <f>C6*36</f>
        <v>43552.857600000018</v>
      </c>
    </row>
    <row r="7" spans="1:6" ht="15" customHeight="1">
      <c r="A7" s="6" t="s">
        <v>381</v>
      </c>
      <c r="B7" s="6">
        <f>SUM(B5:B6)</f>
        <v>110</v>
      </c>
      <c r="C7" s="19">
        <f>SUM(C5:C6)</f>
        <v>6269.3960000000025</v>
      </c>
      <c r="D7" s="19">
        <f>SUM(D5:D6)</f>
        <v>75232.752000000022</v>
      </c>
      <c r="E7" s="19">
        <f>SUM(E5:E6)</f>
        <v>225698.25600000008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showGridLines="0" zoomScaleNormal="100" workbookViewId="0"/>
  </sheetViews>
  <sheetFormatPr defaultColWidth="8.5703125" defaultRowHeight="14.45"/>
  <cols>
    <col min="1" max="1" width="34" customWidth="1"/>
    <col min="2" max="5" width="16" customWidth="1"/>
  </cols>
  <sheetData>
    <row r="1" spans="1:6" ht="19.5" customHeight="1">
      <c r="A1" s="4" t="s">
        <v>393</v>
      </c>
    </row>
    <row r="2" spans="1:6" ht="15" customHeight="1">
      <c r="A2" s="34" t="s">
        <v>394</v>
      </c>
      <c r="B2" s="34"/>
      <c r="C2" s="34"/>
      <c r="D2" s="34"/>
      <c r="E2" s="34"/>
      <c r="F2" s="34"/>
    </row>
    <row r="4" spans="1:6" ht="15" customHeight="1">
      <c r="A4" s="17" t="s">
        <v>384</v>
      </c>
      <c r="B4" s="17" t="s">
        <v>385</v>
      </c>
      <c r="C4" s="17" t="s">
        <v>386</v>
      </c>
      <c r="D4" s="17" t="s">
        <v>387</v>
      </c>
      <c r="E4" s="17" t="s">
        <v>388</v>
      </c>
    </row>
    <row r="5" spans="1:6" ht="15" customHeight="1">
      <c r="A5" t="s">
        <v>389</v>
      </c>
      <c r="B5">
        <f>COUNTIF('Server Inventory'!$L$5:$L$114,"3-Yr No Upfront")</f>
        <v>84</v>
      </c>
      <c r="C5" s="18">
        <f>SUMIF('Server Inventory'!$L$5:$L$114,"3-Yr No Upfront",'Server Inventory'!$Q$5:$Q$114)</f>
        <v>3986.0250000000005</v>
      </c>
      <c r="D5" s="18">
        <f>C5*12</f>
        <v>47832.3</v>
      </c>
      <c r="E5" s="18">
        <f>C5*36</f>
        <v>143496.90000000002</v>
      </c>
    </row>
    <row r="6" spans="1:6" ht="15" customHeight="1">
      <c r="A6" t="s">
        <v>390</v>
      </c>
      <c r="B6">
        <f>COUNTIF('Server Inventory'!$L$5:$L$114,"On-Demand 12x5")</f>
        <v>26</v>
      </c>
      <c r="C6" s="18">
        <f>SUMIF('Server Inventory'!$L$5:$L$114,"On-Demand 12x5",'Server Inventory'!$Q$5:$Q$114)</f>
        <v>762.4799999999999</v>
      </c>
      <c r="D6" s="18">
        <f>C6*12</f>
        <v>9149.7599999999984</v>
      </c>
      <c r="E6" s="18">
        <f>C6*36</f>
        <v>27449.279999999995</v>
      </c>
    </row>
    <row r="7" spans="1:6" ht="15" customHeight="1">
      <c r="A7" s="6" t="s">
        <v>381</v>
      </c>
      <c r="B7" s="6">
        <f>SUM(B5:B6)</f>
        <v>110</v>
      </c>
      <c r="C7" s="19">
        <f>SUM(C5:C6)</f>
        <v>4748.5050000000001</v>
      </c>
      <c r="D7" s="19">
        <f>SUM(D5:D6)</f>
        <v>56982.06</v>
      </c>
      <c r="E7" s="19">
        <f>SUM(E5:E6)</f>
        <v>170946.18000000002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showGridLines="0" zoomScaleNormal="100" workbookViewId="0"/>
  </sheetViews>
  <sheetFormatPr defaultColWidth="8.5703125" defaultRowHeight="14.45"/>
  <cols>
    <col min="1" max="1" width="40" customWidth="1"/>
    <col min="2" max="5" width="16" customWidth="1"/>
  </cols>
  <sheetData>
    <row r="1" spans="1:5" ht="19.5" customHeight="1">
      <c r="A1" s="4" t="s">
        <v>395</v>
      </c>
    </row>
    <row r="2" spans="1:5" ht="15" customHeight="1">
      <c r="A2" s="34" t="s">
        <v>396</v>
      </c>
      <c r="B2" s="34"/>
      <c r="C2" s="34"/>
      <c r="D2" s="34"/>
      <c r="E2" s="34"/>
    </row>
    <row r="4" spans="1:5" ht="15" customHeight="1">
      <c r="A4" s="17" t="s">
        <v>384</v>
      </c>
      <c r="B4" s="17" t="s">
        <v>385</v>
      </c>
      <c r="C4" s="17" t="s">
        <v>386</v>
      </c>
      <c r="D4" s="17" t="s">
        <v>387</v>
      </c>
      <c r="E4" s="17" t="s">
        <v>388</v>
      </c>
    </row>
    <row r="5" spans="1:5" ht="15" customHeight="1">
      <c r="A5" t="s">
        <v>397</v>
      </c>
      <c r="B5">
        <f>COUNTIF('Server Inventory'!$Y$5:$Y$114,"Yes")</f>
        <v>64</v>
      </c>
      <c r="C5" s="18">
        <f>SUMIF('Server Inventory'!$Y$5:$Y$114,"Yes",'Server Inventory'!$R$5:$R$114)</f>
        <v>2153.4704000000002</v>
      </c>
      <c r="D5" s="18">
        <f>C5*12</f>
        <v>25841.644800000002</v>
      </c>
      <c r="E5" s="18">
        <f>C5*36</f>
        <v>77524.934399999998</v>
      </c>
    </row>
    <row r="7" spans="1:5" ht="15" customHeight="1">
      <c r="A7" s="35" t="s">
        <v>398</v>
      </c>
      <c r="B7" s="35"/>
      <c r="C7" s="35"/>
      <c r="D7" s="35"/>
      <c r="E7" s="35"/>
    </row>
  </sheetData>
  <mergeCells count="2">
    <mergeCell ref="A2:E2"/>
    <mergeCell ref="A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showGridLines="0" topLeftCell="A6" zoomScaleNormal="100" workbookViewId="0"/>
  </sheetViews>
  <sheetFormatPr defaultColWidth="8.5703125" defaultRowHeight="14.45"/>
  <cols>
    <col min="1" max="1" width="42" customWidth="1"/>
    <col min="2" max="2" width="16" customWidth="1"/>
  </cols>
  <sheetData>
    <row r="1" spans="1:5" ht="19.5" customHeight="1">
      <c r="A1" s="4" t="s">
        <v>399</v>
      </c>
    </row>
    <row r="2" spans="1:5" ht="15" customHeight="1">
      <c r="A2" s="34" t="s">
        <v>400</v>
      </c>
      <c r="B2" s="34"/>
      <c r="C2" s="34"/>
      <c r="D2" s="34"/>
      <c r="E2" s="34"/>
    </row>
    <row r="4" spans="1:5" ht="15" customHeight="1">
      <c r="A4" s="20" t="s">
        <v>401</v>
      </c>
      <c r="B4" s="21">
        <v>4</v>
      </c>
    </row>
    <row r="5" spans="1:5" ht="15" customHeight="1">
      <c r="A5" s="20" t="s">
        <v>402</v>
      </c>
      <c r="B5" s="21">
        <v>100</v>
      </c>
    </row>
    <row r="6" spans="1:5" ht="15" customHeight="1">
      <c r="A6" s="20" t="s">
        <v>403</v>
      </c>
      <c r="B6" s="20">
        <f>'Pricing Inputs'!$B$27</f>
        <v>0.06</v>
      </c>
    </row>
    <row r="7" spans="1:5" ht="15" customHeight="1">
      <c r="A7" s="20" t="s">
        <v>404</v>
      </c>
      <c r="B7" s="20">
        <f>'Pricing Inputs'!$B$28</f>
        <v>0.02</v>
      </c>
    </row>
    <row r="8" spans="1:5" ht="15" customHeight="1">
      <c r="A8" s="20" t="s">
        <v>405</v>
      </c>
      <c r="B8" s="20">
        <f>'Pricing Inputs'!$B$29</f>
        <v>730</v>
      </c>
    </row>
    <row r="10" spans="1:5" ht="15" customHeight="1">
      <c r="A10" s="6" t="s">
        <v>406</v>
      </c>
      <c r="B10" s="18">
        <f>B4*B6*B8</f>
        <v>175.2</v>
      </c>
    </row>
    <row r="11" spans="1:5" ht="15" customHeight="1">
      <c r="A11" s="6" t="s">
        <v>407</v>
      </c>
      <c r="B11" s="18">
        <f>B4*B5*B7</f>
        <v>8</v>
      </c>
    </row>
    <row r="12" spans="1:5" ht="15" customHeight="1">
      <c r="A12" s="6" t="s">
        <v>408</v>
      </c>
      <c r="B12" s="18">
        <f>B10+B11</f>
        <v>183.2</v>
      </c>
    </row>
    <row r="13" spans="1:5" ht="15" customHeight="1">
      <c r="A13" s="6" t="s">
        <v>409</v>
      </c>
      <c r="B13" s="18">
        <f>B12*12</f>
        <v>2198.3999999999996</v>
      </c>
    </row>
    <row r="14" spans="1:5" ht="15" customHeight="1">
      <c r="A14" s="6" t="s">
        <v>410</v>
      </c>
      <c r="B14" s="18">
        <f>B12*36</f>
        <v>6595.2</v>
      </c>
    </row>
    <row r="16" spans="1:5" ht="15" customHeight="1">
      <c r="A16" s="6" t="s">
        <v>411</v>
      </c>
      <c r="B16" s="22">
        <v>38.5</v>
      </c>
    </row>
    <row r="17" spans="1:3" ht="15" customHeight="1">
      <c r="A17" s="36" t="s">
        <v>412</v>
      </c>
      <c r="B17" s="36"/>
      <c r="C17" s="36"/>
    </row>
    <row r="19" spans="1:3" ht="15" customHeight="1">
      <c r="A19" s="6" t="s">
        <v>413</v>
      </c>
      <c r="B19" s="19">
        <f>B12+B16</f>
        <v>221.7</v>
      </c>
    </row>
    <row r="20" spans="1:3" ht="15" customHeight="1">
      <c r="A20" s="6" t="s">
        <v>414</v>
      </c>
      <c r="B20" s="18">
        <f>B19*12</f>
        <v>2660.3999999999996</v>
      </c>
    </row>
    <row r="21" spans="1:3" ht="15" customHeight="1">
      <c r="A21" s="6" t="s">
        <v>415</v>
      </c>
      <c r="B21" s="18">
        <f>B19*36</f>
        <v>7981.2</v>
      </c>
    </row>
  </sheetData>
  <mergeCells count="2">
    <mergeCell ref="A2:E2"/>
    <mergeCell ref="A17:C1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3"/>
  <sheetViews>
    <sheetView showGridLines="0" tabSelected="1" zoomScaleNormal="100" workbookViewId="0"/>
  </sheetViews>
  <sheetFormatPr defaultColWidth="8.5703125" defaultRowHeight="14.45"/>
  <cols>
    <col min="1" max="1" width="16" customWidth="1"/>
    <col min="2" max="2" width="20" customWidth="1"/>
    <col min="3" max="3" width="18" customWidth="1"/>
    <col min="4" max="4" width="16" customWidth="1"/>
    <col min="5" max="5" width="38" customWidth="1"/>
    <col min="6" max="6" width="18" customWidth="1"/>
  </cols>
  <sheetData>
    <row r="1" spans="1:6" ht="19.5" customHeight="1">
      <c r="A1" s="4" t="s">
        <v>416</v>
      </c>
    </row>
    <row r="2" spans="1:6" ht="15" customHeight="1">
      <c r="A2" s="34" t="s">
        <v>417</v>
      </c>
      <c r="B2" s="34"/>
      <c r="C2" s="34"/>
      <c r="D2" s="34"/>
      <c r="E2" s="34"/>
      <c r="F2" s="34"/>
    </row>
    <row r="4" spans="1:6" ht="15" customHeight="1">
      <c r="A4" s="17" t="s">
        <v>418</v>
      </c>
      <c r="B4" s="17" t="s">
        <v>419</v>
      </c>
      <c r="C4" s="17" t="s">
        <v>420</v>
      </c>
      <c r="D4" s="17" t="s">
        <v>421</v>
      </c>
      <c r="E4" s="17" t="s">
        <v>422</v>
      </c>
      <c r="F4" s="17" t="s">
        <v>423</v>
      </c>
    </row>
    <row r="5" spans="1:6" ht="15" customHeight="1">
      <c r="A5" t="s">
        <v>424</v>
      </c>
      <c r="B5" s="23">
        <v>12046.83</v>
      </c>
      <c r="C5" s="23">
        <v>30911.06</v>
      </c>
      <c r="D5" s="24">
        <f t="shared" ref="D5:D17" si="0">C5</f>
        <v>30911.06</v>
      </c>
      <c r="E5" t="s">
        <v>425</v>
      </c>
      <c r="F5" s="18">
        <f>D5*'Pricing Inputs'!$B$37</f>
        <v>35238.608399999997</v>
      </c>
    </row>
    <row r="6" spans="1:6" ht="15" customHeight="1">
      <c r="A6" t="s">
        <v>426</v>
      </c>
      <c r="B6" s="23">
        <v>12046.83</v>
      </c>
      <c r="C6" s="23">
        <v>32925.61</v>
      </c>
      <c r="D6" s="24">
        <f t="shared" si="0"/>
        <v>32925.61</v>
      </c>
      <c r="E6" t="s">
        <v>425</v>
      </c>
      <c r="F6" s="18">
        <f>D6*'Pricing Inputs'!$B$37</f>
        <v>37535.195399999997</v>
      </c>
    </row>
    <row r="7" spans="1:6" ht="15" customHeight="1">
      <c r="A7" t="s">
        <v>427</v>
      </c>
      <c r="B7" s="24">
        <f t="shared" ref="B7:B17" si="1">AVERAGE($B$5:$B$6)</f>
        <v>12046.83</v>
      </c>
      <c r="C7" s="24">
        <f t="shared" ref="C7:C17" si="2">AVERAGE($C$5:$C$6)</f>
        <v>31918.334999999999</v>
      </c>
      <c r="D7" s="24">
        <f t="shared" si="0"/>
        <v>31918.334999999999</v>
      </c>
      <c r="E7" s="25" t="s">
        <v>428</v>
      </c>
      <c r="F7" s="18">
        <f>D7*'Pricing Inputs'!$B$37</f>
        <v>36386.901899999997</v>
      </c>
    </row>
    <row r="8" spans="1:6" ht="15" customHeight="1">
      <c r="A8" t="s">
        <v>429</v>
      </c>
      <c r="B8" s="24">
        <f t="shared" si="1"/>
        <v>12046.83</v>
      </c>
      <c r="C8" s="24">
        <f t="shared" si="2"/>
        <v>31918.334999999999</v>
      </c>
      <c r="D8" s="24">
        <f t="shared" si="0"/>
        <v>31918.334999999999</v>
      </c>
      <c r="E8" s="25" t="s">
        <v>428</v>
      </c>
      <c r="F8" s="18">
        <f>D8*'Pricing Inputs'!$B$37</f>
        <v>36386.901899999997</v>
      </c>
    </row>
    <row r="9" spans="1:6" ht="15" customHeight="1">
      <c r="A9" t="s">
        <v>430</v>
      </c>
      <c r="B9" s="24">
        <f t="shared" si="1"/>
        <v>12046.83</v>
      </c>
      <c r="C9" s="24">
        <f t="shared" si="2"/>
        <v>31918.334999999999</v>
      </c>
      <c r="D9" s="24">
        <f t="shared" si="0"/>
        <v>31918.334999999999</v>
      </c>
      <c r="E9" s="25" t="s">
        <v>428</v>
      </c>
      <c r="F9" s="18">
        <f>D9*'Pricing Inputs'!$B$37</f>
        <v>36386.901899999997</v>
      </c>
    </row>
    <row r="10" spans="1:6" ht="15" customHeight="1">
      <c r="A10" t="s">
        <v>431</v>
      </c>
      <c r="B10" s="24">
        <f t="shared" si="1"/>
        <v>12046.83</v>
      </c>
      <c r="C10" s="24">
        <f t="shared" si="2"/>
        <v>31918.334999999999</v>
      </c>
      <c r="D10" s="24">
        <f t="shared" si="0"/>
        <v>31918.334999999999</v>
      </c>
      <c r="E10" s="25" t="s">
        <v>428</v>
      </c>
      <c r="F10" s="18">
        <f>D10*'Pricing Inputs'!$B$37</f>
        <v>36386.901899999997</v>
      </c>
    </row>
    <row r="11" spans="1:6" ht="15" customHeight="1">
      <c r="A11" t="s">
        <v>432</v>
      </c>
      <c r="B11" s="24">
        <f t="shared" si="1"/>
        <v>12046.83</v>
      </c>
      <c r="C11" s="24">
        <f t="shared" si="2"/>
        <v>31918.334999999999</v>
      </c>
      <c r="D11" s="24">
        <f t="shared" si="0"/>
        <v>31918.334999999999</v>
      </c>
      <c r="E11" s="25" t="s">
        <v>428</v>
      </c>
      <c r="F11" s="18">
        <f>D11*'Pricing Inputs'!$B$37</f>
        <v>36386.901899999997</v>
      </c>
    </row>
    <row r="12" spans="1:6" ht="15" customHeight="1">
      <c r="A12" t="s">
        <v>433</v>
      </c>
      <c r="B12" s="24">
        <f t="shared" si="1"/>
        <v>12046.83</v>
      </c>
      <c r="C12" s="24">
        <f t="shared" si="2"/>
        <v>31918.334999999999</v>
      </c>
      <c r="D12" s="24">
        <f t="shared" si="0"/>
        <v>31918.334999999999</v>
      </c>
      <c r="E12" s="25" t="s">
        <v>428</v>
      </c>
      <c r="F12" s="18">
        <f>D12*'Pricing Inputs'!$B$37</f>
        <v>36386.901899999997</v>
      </c>
    </row>
    <row r="13" spans="1:6" ht="15" customHeight="1">
      <c r="A13" t="s">
        <v>434</v>
      </c>
      <c r="B13" s="24">
        <f t="shared" si="1"/>
        <v>12046.83</v>
      </c>
      <c r="C13" s="24">
        <f t="shared" si="2"/>
        <v>31918.334999999999</v>
      </c>
      <c r="D13" s="24">
        <f t="shared" si="0"/>
        <v>31918.334999999999</v>
      </c>
      <c r="E13" s="25" t="s">
        <v>428</v>
      </c>
      <c r="F13" s="18">
        <f>D13*'Pricing Inputs'!$B$37</f>
        <v>36386.901899999997</v>
      </c>
    </row>
    <row r="14" spans="1:6" ht="15" customHeight="1">
      <c r="A14" t="s">
        <v>435</v>
      </c>
      <c r="B14" s="24">
        <f t="shared" si="1"/>
        <v>12046.83</v>
      </c>
      <c r="C14" s="24">
        <f t="shared" si="2"/>
        <v>31918.334999999999</v>
      </c>
      <c r="D14" s="24">
        <f t="shared" si="0"/>
        <v>31918.334999999999</v>
      </c>
      <c r="E14" s="25" t="s">
        <v>428</v>
      </c>
      <c r="F14" s="18">
        <f>D14*'Pricing Inputs'!$B$37</f>
        <v>36386.901899999997</v>
      </c>
    </row>
    <row r="15" spans="1:6" ht="15" customHeight="1">
      <c r="A15" t="s">
        <v>436</v>
      </c>
      <c r="B15" s="24">
        <f t="shared" si="1"/>
        <v>12046.83</v>
      </c>
      <c r="C15" s="24">
        <f t="shared" si="2"/>
        <v>31918.334999999999</v>
      </c>
      <c r="D15" s="24">
        <f t="shared" si="0"/>
        <v>31918.334999999999</v>
      </c>
      <c r="E15" s="25" t="s">
        <v>428</v>
      </c>
      <c r="F15" s="18">
        <f>D15*'Pricing Inputs'!$B$37</f>
        <v>36386.901899999997</v>
      </c>
    </row>
    <row r="16" spans="1:6" ht="15" customHeight="1">
      <c r="A16" t="s">
        <v>437</v>
      </c>
      <c r="B16" s="24">
        <f t="shared" si="1"/>
        <v>12046.83</v>
      </c>
      <c r="C16" s="24">
        <f t="shared" si="2"/>
        <v>31918.334999999999</v>
      </c>
      <c r="D16" s="24">
        <f t="shared" si="0"/>
        <v>31918.334999999999</v>
      </c>
      <c r="E16" s="25" t="s">
        <v>428</v>
      </c>
      <c r="F16" s="18">
        <f>D16*'Pricing Inputs'!$B$37</f>
        <v>36386.901899999997</v>
      </c>
    </row>
    <row r="17" spans="1:6" ht="15" customHeight="1">
      <c r="A17" t="s">
        <v>438</v>
      </c>
      <c r="B17" s="24">
        <f t="shared" si="1"/>
        <v>12046.83</v>
      </c>
      <c r="C17" s="24">
        <f t="shared" si="2"/>
        <v>31918.334999999999</v>
      </c>
      <c r="D17" s="24">
        <f t="shared" si="0"/>
        <v>31918.334999999999</v>
      </c>
      <c r="E17" s="25" t="s">
        <v>428</v>
      </c>
      <c r="F17" s="18">
        <f>D17*'Pricing Inputs'!$B$37</f>
        <v>36386.901899999997</v>
      </c>
    </row>
    <row r="18" spans="1:6" ht="15" customHeight="1">
      <c r="A18" s="6" t="s">
        <v>439</v>
      </c>
      <c r="B18" s="26">
        <f>SUM(B5:B17)</f>
        <v>156608.78999999998</v>
      </c>
      <c r="C18" s="26">
        <f>SUM(C5:C17)</f>
        <v>414938.35500000004</v>
      </c>
      <c r="D18" s="26">
        <f>SUM(D5:D17)</f>
        <v>414938.35500000004</v>
      </c>
    </row>
    <row r="19" spans="1:6" ht="15" customHeight="1">
      <c r="A19" s="2" t="s">
        <v>440</v>
      </c>
      <c r="B19" s="27">
        <f>SUM(B5:B17)</f>
        <v>156608.78999999998</v>
      </c>
    </row>
    <row r="20" spans="1:6" ht="15" customHeight="1">
      <c r="A20" s="6" t="s">
        <v>441</v>
      </c>
      <c r="B20" s="24">
        <f>D18</f>
        <v>414938.35500000004</v>
      </c>
      <c r="E20" s="6" t="s">
        <v>442</v>
      </c>
      <c r="F20" s="19">
        <f>B20*'Pricing Inputs'!$B$37</f>
        <v>473029.72470000002</v>
      </c>
    </row>
    <row r="21" spans="1:6" ht="15" customHeight="1">
      <c r="A21" s="6" t="s">
        <v>443</v>
      </c>
      <c r="B21" s="24">
        <f>B20*3</f>
        <v>1244815.0650000002</v>
      </c>
      <c r="E21" s="6" t="s">
        <v>444</v>
      </c>
      <c r="F21" s="19">
        <f>B21*'Pricing Inputs'!$B$37</f>
        <v>1419089.1741000002</v>
      </c>
    </row>
    <row r="23" spans="1:6" ht="15" customHeight="1">
      <c r="A23" s="36" t="s">
        <v>445</v>
      </c>
      <c r="B23" s="36"/>
      <c r="C23" s="36"/>
      <c r="D23" s="36"/>
      <c r="E23" s="36"/>
    </row>
  </sheetData>
  <mergeCells count="2">
    <mergeCell ref="A2:F2"/>
    <mergeCell ref="A23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"/>
  <sheetViews>
    <sheetView showGridLines="0" zoomScaleNormal="100" workbookViewId="0"/>
  </sheetViews>
  <sheetFormatPr defaultColWidth="8.5703125" defaultRowHeight="14.45"/>
  <cols>
    <col min="1" max="1" width="42" customWidth="1"/>
    <col min="2" max="4" width="20" customWidth="1"/>
    <col min="5" max="7" width="16" customWidth="1"/>
  </cols>
  <sheetData>
    <row r="1" spans="1:7" ht="19.5" customHeight="1">
      <c r="A1" s="4" t="s">
        <v>446</v>
      </c>
    </row>
    <row r="2" spans="1:7" ht="15" customHeight="1">
      <c r="A2" s="34" t="s">
        <v>447</v>
      </c>
      <c r="B2" s="34"/>
      <c r="C2" s="34"/>
      <c r="D2" s="34"/>
      <c r="E2" s="34"/>
    </row>
    <row r="4" spans="1:7" ht="15" customHeight="1">
      <c r="A4" s="5" t="s">
        <v>448</v>
      </c>
    </row>
    <row r="5" spans="1:7" ht="15" customHeight="1">
      <c r="A5" s="17" t="s">
        <v>449</v>
      </c>
      <c r="B5" s="17" t="s">
        <v>450</v>
      </c>
      <c r="C5" s="17" t="s">
        <v>451</v>
      </c>
      <c r="D5" s="17" t="s">
        <v>452</v>
      </c>
      <c r="E5" s="17" t="s">
        <v>453</v>
      </c>
      <c r="F5" s="17" t="s">
        <v>454</v>
      </c>
      <c r="G5" s="17" t="s">
        <v>455</v>
      </c>
    </row>
    <row r="6" spans="1:7" ht="15" customHeight="1">
      <c r="A6" t="s">
        <v>456</v>
      </c>
      <c r="B6" s="18">
        <f>'AWS Compute Cost'!C7</f>
        <v>19871.189100000003</v>
      </c>
      <c r="C6" s="18">
        <f>B6*12</f>
        <v>238454.26920000004</v>
      </c>
      <c r="D6" s="18">
        <f>B6*36</f>
        <v>715362.80760000017</v>
      </c>
      <c r="E6" s="27">
        <f>B6/'Pricing Inputs'!$B$37</f>
        <v>17430.867631578953</v>
      </c>
      <c r="F6" s="27">
        <f>C6/'Pricing Inputs'!$B$37</f>
        <v>209170.41157894742</v>
      </c>
      <c r="G6" s="27">
        <f>D6/'Pricing Inputs'!$B$37</f>
        <v>627511.23473684234</v>
      </c>
    </row>
    <row r="7" spans="1:7" ht="15" customHeight="1">
      <c r="A7" t="s">
        <v>457</v>
      </c>
      <c r="B7" s="18">
        <f>'AWS Storage Cost'!C7</f>
        <v>6269.3960000000025</v>
      </c>
      <c r="C7" s="18">
        <f>B7*12</f>
        <v>75232.752000000037</v>
      </c>
      <c r="D7" s="18">
        <f>B7*36</f>
        <v>225698.25600000008</v>
      </c>
      <c r="E7" s="27">
        <f>B7/'Pricing Inputs'!$B$37</f>
        <v>5499.4701754385987</v>
      </c>
      <c r="F7" s="27">
        <f>C7/'Pricing Inputs'!$B$37</f>
        <v>65993.642105263192</v>
      </c>
      <c r="G7" s="27">
        <f>D7/'Pricing Inputs'!$B$37</f>
        <v>197980.92631578955</v>
      </c>
    </row>
    <row r="8" spans="1:7" ht="15" customHeight="1">
      <c r="A8" t="s">
        <v>79</v>
      </c>
      <c r="B8" s="18">
        <f>'AWS Backup Cost'!C7</f>
        <v>4748.5050000000001</v>
      </c>
      <c r="C8" s="18">
        <f>B8*12</f>
        <v>56982.06</v>
      </c>
      <c r="D8" s="18">
        <f>B8*36</f>
        <v>170946.18</v>
      </c>
      <c r="E8" s="27">
        <f>B8/'Pricing Inputs'!$B$37</f>
        <v>4165.355263157895</v>
      </c>
      <c r="F8" s="27">
        <f>C8/'Pricing Inputs'!$B$37</f>
        <v>49984.26315789474</v>
      </c>
      <c r="G8" s="27">
        <f>D8/'Pricing Inputs'!$B$37</f>
        <v>149952.78947368421</v>
      </c>
    </row>
    <row r="9" spans="1:7" ht="15" customHeight="1">
      <c r="A9" t="s">
        <v>458</v>
      </c>
      <c r="B9" s="18">
        <f>'AWS DRS Cost'!C5</f>
        <v>2153.4704000000002</v>
      </c>
      <c r="C9" s="18">
        <f>B9*12</f>
        <v>25841.644800000002</v>
      </c>
      <c r="D9" s="18">
        <f>B9*36</f>
        <v>77524.934399999998</v>
      </c>
      <c r="E9" s="27">
        <f>B9/'Pricing Inputs'!$B$37</f>
        <v>1889.0091228070178</v>
      </c>
      <c r="F9" s="27">
        <f>C9/'Pricing Inputs'!$B$37</f>
        <v>22668.109473684213</v>
      </c>
      <c r="G9" s="27">
        <f>D9/'Pricing Inputs'!$B$37</f>
        <v>68004.328421052633</v>
      </c>
    </row>
    <row r="10" spans="1:7" ht="15" customHeight="1">
      <c r="A10" t="s">
        <v>459</v>
      </c>
      <c r="B10" s="18">
        <f>'Network Cost'!B19</f>
        <v>221.7</v>
      </c>
      <c r="C10" s="18">
        <f>'Network Cost'!B20</f>
        <v>2660.3999999999996</v>
      </c>
      <c r="D10" s="18">
        <f>'Network Cost'!B21</f>
        <v>7981.2</v>
      </c>
      <c r="E10" s="27">
        <f>B10/'Pricing Inputs'!$B$37</f>
        <v>194.47368421052633</v>
      </c>
      <c r="F10" s="27">
        <f>C10/'Pricing Inputs'!$B$37</f>
        <v>2333.6842105263158</v>
      </c>
      <c r="G10" s="27">
        <f>D10/'Pricing Inputs'!$B$37</f>
        <v>7001.0526315789475</v>
      </c>
    </row>
    <row r="11" spans="1:7" ht="15" customHeight="1">
      <c r="A11" s="6" t="s">
        <v>460</v>
      </c>
      <c r="B11" s="19">
        <f t="shared" ref="B11:G11" si="0">SUM(B6:B10)</f>
        <v>33264.260500000004</v>
      </c>
      <c r="C11" s="19">
        <f t="shared" si="0"/>
        <v>399171.12600000011</v>
      </c>
      <c r="D11" s="19">
        <f t="shared" si="0"/>
        <v>1197513.378</v>
      </c>
      <c r="E11" s="28">
        <f t="shared" si="0"/>
        <v>29179.175877192989</v>
      </c>
      <c r="F11" s="28">
        <f t="shared" si="0"/>
        <v>350150.11052631587</v>
      </c>
      <c r="G11" s="28">
        <f t="shared" si="0"/>
        <v>1050450.3315789478</v>
      </c>
    </row>
    <row r="14" spans="1:7" ht="15" customHeight="1">
      <c r="A14" s="5" t="s">
        <v>461</v>
      </c>
    </row>
    <row r="15" spans="1:7" ht="15" customHeight="1">
      <c r="A15" s="17" t="s">
        <v>449</v>
      </c>
      <c r="B15" s="17" t="s">
        <v>462</v>
      </c>
      <c r="C15" s="17" t="s">
        <v>455</v>
      </c>
      <c r="D15" s="17" t="s">
        <v>463</v>
      </c>
      <c r="E15" s="17" t="s">
        <v>452</v>
      </c>
    </row>
    <row r="16" spans="1:7" ht="15" customHeight="1">
      <c r="A16" t="s">
        <v>464</v>
      </c>
      <c r="B16" s="27">
        <f>'Azure Baseline'!B20</f>
        <v>414938.35500000004</v>
      </c>
      <c r="C16" s="27">
        <f>'Azure Baseline'!B21</f>
        <v>1244815.0650000002</v>
      </c>
      <c r="D16" s="18">
        <f>B16*'Pricing Inputs'!$B$37</f>
        <v>473029.72470000002</v>
      </c>
      <c r="E16" s="18">
        <f>C16*'Pricing Inputs'!$B$37</f>
        <v>1419089.1741000002</v>
      </c>
    </row>
    <row r="17" spans="1:5" ht="15" customHeight="1">
      <c r="A17" s="2" t="s">
        <v>465</v>
      </c>
    </row>
    <row r="20" spans="1:5" ht="15" customHeight="1">
      <c r="A20" s="5" t="s">
        <v>466</v>
      </c>
    </row>
    <row r="21" spans="1:5" ht="15" customHeight="1">
      <c r="A21" s="17"/>
      <c r="B21" s="17" t="s">
        <v>467</v>
      </c>
      <c r="C21" s="17" t="s">
        <v>468</v>
      </c>
      <c r="D21" s="17" t="s">
        <v>469</v>
      </c>
      <c r="E21" s="17" t="s">
        <v>470</v>
      </c>
    </row>
    <row r="22" spans="1:5" ht="15" customHeight="1">
      <c r="A22" s="6" t="s">
        <v>471</v>
      </c>
      <c r="B22" s="27">
        <f>B16</f>
        <v>414938.35500000004</v>
      </c>
      <c r="C22" s="18">
        <f>D16</f>
        <v>473029.72470000002</v>
      </c>
      <c r="D22" s="18">
        <f>C11</f>
        <v>399171.12600000011</v>
      </c>
      <c r="E22" s="27">
        <f>F11</f>
        <v>350150.11052631587</v>
      </c>
    </row>
    <row r="23" spans="1:5" ht="15" customHeight="1">
      <c r="A23" s="6" t="s">
        <v>472</v>
      </c>
      <c r="B23" s="27">
        <f>C16</f>
        <v>1244815.0650000002</v>
      </c>
      <c r="C23" s="18">
        <f>E16</f>
        <v>1419089.1741000002</v>
      </c>
      <c r="D23" s="18">
        <f>D11</f>
        <v>1197513.378</v>
      </c>
      <c r="E23" s="27">
        <f>G11</f>
        <v>1050450.3315789478</v>
      </c>
    </row>
    <row r="25" spans="1:5" ht="15" customHeight="1">
      <c r="A25" s="6" t="s">
        <v>473</v>
      </c>
      <c r="B25">
        <f>'Pricing Inputs'!$B$31</f>
        <v>1.5</v>
      </c>
    </row>
    <row r="26" spans="1:5" ht="15" customHeight="1">
      <c r="A26" s="36" t="s">
        <v>474</v>
      </c>
      <c r="B26" s="36"/>
      <c r="C26" s="36"/>
      <c r="D26" s="36"/>
      <c r="E26" s="36"/>
    </row>
  </sheetData>
  <mergeCells count="2">
    <mergeCell ref="A2:E2"/>
    <mergeCell ref="A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8"/>
  <sheetViews>
    <sheetView showGridLines="0" zoomScaleNormal="100" workbookViewId="0"/>
  </sheetViews>
  <sheetFormatPr defaultColWidth="8.5703125" defaultRowHeight="14.45"/>
  <cols>
    <col min="1" max="1" width="55" customWidth="1"/>
    <col min="2" max="8" width="16" customWidth="1"/>
  </cols>
  <sheetData>
    <row r="1" spans="1:8" ht="19.5" customHeight="1">
      <c r="A1" s="4" t="s">
        <v>475</v>
      </c>
    </row>
    <row r="2" spans="1:8" ht="15" customHeight="1">
      <c r="A2" s="37" t="s">
        <v>476</v>
      </c>
      <c r="B2" s="37"/>
      <c r="C2" s="37"/>
      <c r="D2" s="37"/>
      <c r="E2" s="37"/>
      <c r="F2" s="37"/>
      <c r="G2" s="37"/>
      <c r="H2" s="37"/>
    </row>
    <row r="4" spans="1:8" ht="15" customHeight="1">
      <c r="A4" s="5" t="s">
        <v>477</v>
      </c>
    </row>
    <row r="5" spans="1:8" ht="23.25" customHeight="1">
      <c r="A5" s="17" t="s">
        <v>478</v>
      </c>
      <c r="B5" s="17" t="s">
        <v>479</v>
      </c>
      <c r="C5" s="17" t="s">
        <v>480</v>
      </c>
      <c r="D5" s="17" t="s">
        <v>481</v>
      </c>
      <c r="E5" s="17" t="s">
        <v>482</v>
      </c>
      <c r="F5" s="17" t="s">
        <v>483</v>
      </c>
      <c r="G5" s="17" t="s">
        <v>484</v>
      </c>
    </row>
    <row r="6" spans="1:8" ht="15" customHeight="1">
      <c r="A6" s="29" t="s">
        <v>124</v>
      </c>
      <c r="B6" s="29">
        <v>2</v>
      </c>
      <c r="C6" s="29">
        <v>8</v>
      </c>
      <c r="D6" s="30">
        <v>0.10349999999999999</v>
      </c>
      <c r="E6" s="30">
        <v>0.19550000000000001</v>
      </c>
      <c r="F6" s="30">
        <v>5.3830000000000003E-2</v>
      </c>
      <c r="G6" s="30">
        <v>0.14582999999999999</v>
      </c>
    </row>
    <row r="7" spans="1:8" ht="15" customHeight="1">
      <c r="A7" s="29" t="s">
        <v>132</v>
      </c>
      <c r="B7" s="29">
        <v>4</v>
      </c>
      <c r="C7" s="29">
        <v>16</v>
      </c>
      <c r="D7" s="30">
        <v>0.20699999999999999</v>
      </c>
      <c r="E7" s="30">
        <v>0.39100000000000001</v>
      </c>
      <c r="F7" s="30">
        <v>0.10767</v>
      </c>
      <c r="G7" s="30">
        <v>0.29166999999999998</v>
      </c>
    </row>
    <row r="8" spans="1:8" ht="15" customHeight="1">
      <c r="A8" s="29" t="s">
        <v>307</v>
      </c>
      <c r="B8" s="29">
        <v>8</v>
      </c>
      <c r="C8" s="29">
        <v>32</v>
      </c>
      <c r="D8" s="30">
        <v>0.41399999999999998</v>
      </c>
      <c r="E8" s="30">
        <v>0.78200000000000003</v>
      </c>
      <c r="F8" s="30">
        <v>0.21532999999999999</v>
      </c>
      <c r="G8" s="30">
        <v>0.58333000000000002</v>
      </c>
    </row>
    <row r="9" spans="1:8" ht="15" customHeight="1">
      <c r="A9" s="29" t="s">
        <v>485</v>
      </c>
      <c r="B9" s="29">
        <v>2</v>
      </c>
      <c r="C9" s="29">
        <v>4</v>
      </c>
      <c r="D9" s="30">
        <v>8.7300000000000003E-2</v>
      </c>
      <c r="E9" s="30">
        <v>0.17929999999999999</v>
      </c>
      <c r="F9" s="30">
        <v>4.53E-2</v>
      </c>
      <c r="G9" s="30">
        <v>0.13730000000000001</v>
      </c>
    </row>
    <row r="10" spans="1:8" ht="15" customHeight="1">
      <c r="A10" s="29" t="s">
        <v>214</v>
      </c>
      <c r="B10" s="29">
        <v>8</v>
      </c>
      <c r="C10" s="29">
        <v>16</v>
      </c>
      <c r="D10" s="30">
        <v>0.34920000000000001</v>
      </c>
      <c r="E10" s="30">
        <v>0.71719999999999995</v>
      </c>
      <c r="F10" s="30">
        <v>0.18118000000000001</v>
      </c>
      <c r="G10" s="30">
        <v>0.54918</v>
      </c>
    </row>
    <row r="11" spans="1:8" ht="15" customHeight="1">
      <c r="A11" s="29" t="s">
        <v>146</v>
      </c>
      <c r="B11" s="29">
        <v>2</v>
      </c>
      <c r="C11" s="29">
        <v>16</v>
      </c>
      <c r="D11" s="30">
        <v>0.1368</v>
      </c>
      <c r="E11" s="30">
        <v>0.2288</v>
      </c>
      <c r="F11" s="30">
        <v>7.1360000000000007E-2</v>
      </c>
      <c r="G11" s="30">
        <v>0.16336000000000001</v>
      </c>
    </row>
    <row r="12" spans="1:8" ht="15" customHeight="1">
      <c r="A12" s="29" t="s">
        <v>231</v>
      </c>
      <c r="B12" s="29">
        <v>4</v>
      </c>
      <c r="C12" s="29">
        <v>32</v>
      </c>
      <c r="D12" s="30">
        <v>0.27360000000000001</v>
      </c>
      <c r="E12" s="30">
        <v>0.45760000000000001</v>
      </c>
      <c r="F12" s="30">
        <v>0.14272000000000001</v>
      </c>
      <c r="G12" s="30">
        <v>0.32672000000000001</v>
      </c>
    </row>
    <row r="13" spans="1:8" ht="15" customHeight="1">
      <c r="A13" s="29" t="s">
        <v>227</v>
      </c>
      <c r="B13" s="29">
        <v>8</v>
      </c>
      <c r="C13" s="29">
        <v>64</v>
      </c>
      <c r="D13" s="30">
        <v>0.54720000000000002</v>
      </c>
      <c r="E13" s="30">
        <v>0.91520000000000001</v>
      </c>
      <c r="F13" s="30">
        <v>0.28544000000000003</v>
      </c>
      <c r="G13" s="30">
        <v>0.65344000000000002</v>
      </c>
    </row>
    <row r="14" spans="1:8" ht="15" customHeight="1">
      <c r="A14" s="29" t="s">
        <v>353</v>
      </c>
      <c r="B14" s="29">
        <v>16</v>
      </c>
      <c r="C14" s="29">
        <v>128</v>
      </c>
      <c r="D14" s="30">
        <v>1.0944</v>
      </c>
      <c r="E14" s="30">
        <v>1.8304</v>
      </c>
      <c r="F14" s="30">
        <v>0.57088000000000005</v>
      </c>
      <c r="G14" s="30">
        <v>1.30688</v>
      </c>
    </row>
    <row r="16" spans="1:8" ht="15" customHeight="1">
      <c r="A16" s="5" t="s">
        <v>486</v>
      </c>
    </row>
    <row r="17" spans="1:5" ht="23.25" customHeight="1">
      <c r="A17" s="17" t="s">
        <v>478</v>
      </c>
      <c r="B17" s="17" t="s">
        <v>479</v>
      </c>
      <c r="C17" s="17" t="s">
        <v>480</v>
      </c>
      <c r="D17" s="17" t="s">
        <v>482</v>
      </c>
      <c r="E17" s="17" t="s">
        <v>484</v>
      </c>
    </row>
    <row r="18" spans="1:5" ht="15" customHeight="1">
      <c r="A18" s="29" t="s">
        <v>377</v>
      </c>
      <c r="B18" s="29">
        <v>8</v>
      </c>
      <c r="C18" s="29">
        <v>32</v>
      </c>
      <c r="D18" s="30">
        <v>0.92344000000000004</v>
      </c>
      <c r="E18" s="30">
        <v>0.65690000000000004</v>
      </c>
    </row>
    <row r="19" spans="1:5" ht="15" customHeight="1">
      <c r="A19" s="1" t="s">
        <v>487</v>
      </c>
    </row>
    <row r="21" spans="1:5" ht="15" customHeight="1">
      <c r="A21" s="5" t="s">
        <v>488</v>
      </c>
    </row>
    <row r="22" spans="1:5" ht="15" customHeight="1">
      <c r="A22" s="20" t="s">
        <v>489</v>
      </c>
      <c r="B22" s="29">
        <v>9.5200000000000007E-2</v>
      </c>
    </row>
    <row r="23" spans="1:5" ht="15" customHeight="1">
      <c r="A23" s="20" t="s">
        <v>490</v>
      </c>
      <c r="B23" s="29">
        <v>8.7999999999999995E-2</v>
      </c>
    </row>
    <row r="24" spans="1:5" ht="15" customHeight="1">
      <c r="A24" s="20" t="s">
        <v>491</v>
      </c>
      <c r="B24" s="29">
        <v>0.05</v>
      </c>
    </row>
    <row r="25" spans="1:5" ht="15" customHeight="1">
      <c r="A25" s="20" t="s">
        <v>492</v>
      </c>
      <c r="B25" s="29">
        <v>2.8000000000000001E-2</v>
      </c>
    </row>
    <row r="26" spans="1:5" ht="15" customHeight="1">
      <c r="A26" s="20" t="s">
        <v>493</v>
      </c>
      <c r="B26" s="29">
        <v>0.2</v>
      </c>
    </row>
    <row r="27" spans="1:5" ht="15" customHeight="1">
      <c r="A27" s="20" t="s">
        <v>494</v>
      </c>
      <c r="B27" s="29">
        <v>0.06</v>
      </c>
    </row>
    <row r="28" spans="1:5" ht="15" customHeight="1">
      <c r="A28" s="20" t="s">
        <v>495</v>
      </c>
      <c r="B28" s="29">
        <v>0.02</v>
      </c>
    </row>
    <row r="29" spans="1:5" ht="15" customHeight="1">
      <c r="A29" s="20" t="s">
        <v>496</v>
      </c>
      <c r="B29" s="29">
        <v>730</v>
      </c>
    </row>
    <row r="30" spans="1:5" ht="15" customHeight="1">
      <c r="A30" s="20" t="s">
        <v>497</v>
      </c>
      <c r="B30" s="29">
        <v>260</v>
      </c>
    </row>
    <row r="31" spans="1:5" ht="15" customHeight="1">
      <c r="A31" s="20" t="s">
        <v>498</v>
      </c>
      <c r="B31" s="29">
        <v>1.5</v>
      </c>
    </row>
    <row r="32" spans="1:5" ht="15" customHeight="1">
      <c r="A32" s="20" t="s">
        <v>499</v>
      </c>
      <c r="B32" s="29">
        <v>1.2</v>
      </c>
    </row>
    <row r="34" spans="1:8" ht="15" customHeight="1">
      <c r="A34" s="38" t="s">
        <v>500</v>
      </c>
      <c r="B34" s="38"/>
      <c r="C34" s="38"/>
      <c r="D34" s="38"/>
      <c r="E34" s="38"/>
      <c r="F34" s="38"/>
      <c r="G34" s="38"/>
      <c r="H34" s="38"/>
    </row>
    <row r="36" spans="1:8" ht="15" customHeight="1">
      <c r="A36" s="5" t="s">
        <v>501</v>
      </c>
    </row>
    <row r="37" spans="1:8" ht="15" customHeight="1">
      <c r="A37" s="20" t="s">
        <v>502</v>
      </c>
      <c r="B37" s="31">
        <v>1.1399999999999999</v>
      </c>
    </row>
    <row r="38" spans="1:8" ht="15" customHeight="1">
      <c r="A38" s="1" t="s">
        <v>503</v>
      </c>
    </row>
  </sheetData>
  <mergeCells count="2">
    <mergeCell ref="A2:H2"/>
    <mergeCell ref="A34:H3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2026-07-20T11:55:01Z</dcterms:created>
  <dcterms:modified xsi:type="dcterms:W3CDTF">2026-08-19T06:58:08Z</dcterms:modified>
  <cp:category/>
  <cp:contentStatus/>
</cp:coreProperties>
</file>